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767EDD8-6C52-406C-9F83-B28989D3BECE}" xr6:coauthVersionLast="47" xr6:coauthVersionMax="47" xr10:uidLastSave="{00000000-0000-0000-0000-000000000000}"/>
  <bookViews>
    <workbookView xWindow="4520" yWindow="4520" windowWidth="28800" windowHeight="15370" xr2:uid="{E3CE83DE-F6FC-435D-8902-9352CCD992B4}"/>
  </bookViews>
  <sheets>
    <sheet name="Costos Indirectos y Fijos" sheetId="2" r:id="rId1"/>
    <sheet name="Costo Directos" sheetId="3" r:id="rId2"/>
    <sheet name="Costos Total" sheetId="1" r:id="rId3"/>
    <sheet name="Sheet4" sheetId="4" r:id="rId4"/>
  </sheets>
  <definedNames>
    <definedName name="_xlnm.Print_Area" localSheetId="1">'Costo Directos'!$A$4:$R$115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G17" i="2"/>
  <c r="F17" i="2"/>
  <c r="L111" i="3"/>
  <c r="L112" i="3"/>
  <c r="L113" i="3"/>
  <c r="L114" i="3"/>
  <c r="H106" i="3"/>
  <c r="L106" i="3" s="1"/>
  <c r="H107" i="3"/>
  <c r="L107" i="3" s="1"/>
  <c r="H108" i="3"/>
  <c r="L108" i="3" s="1"/>
  <c r="H109" i="3"/>
  <c r="L109" i="3" s="1"/>
  <c r="H110" i="3"/>
  <c r="L110" i="3" s="1"/>
  <c r="L115" i="3"/>
  <c r="H84" i="3"/>
  <c r="L84" i="3" s="1"/>
  <c r="H85" i="3"/>
  <c r="L85" i="3" s="1"/>
  <c r="H86" i="3"/>
  <c r="L86" i="3" s="1"/>
  <c r="H87" i="3"/>
  <c r="L87" i="3" s="1"/>
  <c r="H88" i="3"/>
  <c r="L88" i="3" s="1"/>
  <c r="H89" i="3"/>
  <c r="L89" i="3" s="1"/>
  <c r="H90" i="3"/>
  <c r="L90" i="3" s="1"/>
  <c r="H91" i="3"/>
  <c r="L91" i="3" s="1"/>
  <c r="H92" i="3"/>
  <c r="L92" i="3" s="1"/>
  <c r="H93" i="3"/>
  <c r="L93" i="3" s="1"/>
  <c r="H94" i="3"/>
  <c r="L94" i="3" s="1"/>
  <c r="H95" i="3"/>
  <c r="L95" i="3" s="1"/>
  <c r="H96" i="3"/>
  <c r="L96" i="3" s="1"/>
  <c r="H97" i="3"/>
  <c r="L97" i="3" s="1"/>
  <c r="H98" i="3"/>
  <c r="L98" i="3" s="1"/>
  <c r="H99" i="3"/>
  <c r="L99" i="3" s="1"/>
  <c r="H100" i="3"/>
  <c r="L100" i="3" s="1"/>
  <c r="H101" i="3"/>
  <c r="L101" i="3" s="1"/>
  <c r="H102" i="3"/>
  <c r="L102" i="3" s="1"/>
  <c r="H103" i="3"/>
  <c r="L103" i="3" s="1"/>
  <c r="H104" i="3"/>
  <c r="L104" i="3" s="1"/>
  <c r="H105" i="3"/>
  <c r="L105" i="3" s="1"/>
  <c r="L44" i="3"/>
  <c r="L56" i="3"/>
  <c r="L57" i="3"/>
  <c r="L59" i="3"/>
  <c r="L62" i="3"/>
  <c r="L65" i="3"/>
  <c r="K68" i="3"/>
  <c r="H58" i="3"/>
  <c r="L76" i="3"/>
  <c r="H54" i="3"/>
  <c r="L54" i="3" s="1"/>
  <c r="H55" i="3"/>
  <c r="H60" i="3"/>
  <c r="L60" i="3" s="1"/>
  <c r="H61" i="3"/>
  <c r="H63" i="3"/>
  <c r="H64" i="3"/>
  <c r="H66" i="3"/>
  <c r="L66" i="3" s="1"/>
  <c r="H67" i="3"/>
  <c r="L67" i="3" s="1"/>
  <c r="H68" i="3"/>
  <c r="H69" i="3"/>
  <c r="L69" i="3" s="1"/>
  <c r="L70" i="3"/>
  <c r="H71" i="3"/>
  <c r="L71" i="3" s="1"/>
  <c r="H72" i="3"/>
  <c r="L72" i="3" s="1"/>
  <c r="H73" i="3"/>
  <c r="L73" i="3" s="1"/>
  <c r="L74" i="3"/>
  <c r="H75" i="3"/>
  <c r="L75" i="3" s="1"/>
  <c r="L77" i="3"/>
  <c r="H78" i="3"/>
  <c r="L78" i="3" s="1"/>
  <c r="L79" i="3"/>
  <c r="H80" i="3"/>
  <c r="L80" i="3" s="1"/>
  <c r="H81" i="3"/>
  <c r="L81" i="3" s="1"/>
  <c r="H82" i="3"/>
  <c r="L82" i="3" s="1"/>
  <c r="H83" i="3"/>
  <c r="L83" i="3" s="1"/>
  <c r="H48" i="3"/>
  <c r="L48" i="3" s="1"/>
  <c r="H49" i="3"/>
  <c r="L49" i="3" s="1"/>
  <c r="H50" i="3"/>
  <c r="L50" i="3" s="1"/>
  <c r="H51" i="3"/>
  <c r="H52" i="3"/>
  <c r="H53" i="3"/>
  <c r="K33" i="3"/>
  <c r="H32" i="3"/>
  <c r="H33" i="3"/>
  <c r="L33" i="3" s="1"/>
  <c r="H34" i="3"/>
  <c r="L34" i="3" s="1"/>
  <c r="H35" i="3"/>
  <c r="L35" i="3" s="1"/>
  <c r="H36" i="3"/>
  <c r="L36" i="3" s="1"/>
  <c r="H37" i="3"/>
  <c r="L37" i="3" s="1"/>
  <c r="H38" i="3"/>
  <c r="L38" i="3" s="1"/>
  <c r="H39" i="3"/>
  <c r="L39" i="3" s="1"/>
  <c r="H40" i="3"/>
  <c r="L40" i="3" s="1"/>
  <c r="H42" i="3"/>
  <c r="L42" i="3" s="1"/>
  <c r="H43" i="3"/>
  <c r="L43" i="3" s="1"/>
  <c r="H45" i="3"/>
  <c r="L45" i="3" s="1"/>
  <c r="H46" i="3"/>
  <c r="L46" i="3" s="1"/>
  <c r="H47" i="3"/>
  <c r="L47" i="3" s="1"/>
  <c r="R27" i="3"/>
  <c r="H29" i="3"/>
  <c r="H30" i="3"/>
  <c r="H31" i="3"/>
  <c r="H13" i="3"/>
  <c r="L13" i="3" s="1"/>
  <c r="H14" i="3"/>
  <c r="L14" i="3" s="1"/>
  <c r="H15" i="3"/>
  <c r="L15" i="3" s="1"/>
  <c r="H16" i="3"/>
  <c r="L16" i="3" s="1"/>
  <c r="H17" i="3"/>
  <c r="L17" i="3" s="1"/>
  <c r="H18" i="3"/>
  <c r="L18" i="3" s="1"/>
  <c r="H19" i="3"/>
  <c r="L19" i="3" s="1"/>
  <c r="H20" i="3"/>
  <c r="L20" i="3" s="1"/>
  <c r="H21" i="3"/>
  <c r="L21" i="3" s="1"/>
  <c r="H22" i="3"/>
  <c r="L22" i="3" s="1"/>
  <c r="H23" i="3"/>
  <c r="L23" i="3" s="1"/>
  <c r="H24" i="3"/>
  <c r="L24" i="3" s="1"/>
  <c r="H25" i="3"/>
  <c r="L25" i="3" s="1"/>
  <c r="H26" i="3"/>
  <c r="H27" i="3"/>
  <c r="L27" i="3" s="1"/>
  <c r="H28" i="3"/>
  <c r="H12" i="3"/>
  <c r="L12" i="3" s="1"/>
  <c r="H11" i="3"/>
  <c r="L11" i="3" s="1"/>
  <c r="L9" i="3"/>
  <c r="H10" i="3"/>
  <c r="L10" i="3" s="1"/>
  <c r="H8" i="3"/>
  <c r="L8" i="3" s="1"/>
  <c r="K6" i="3"/>
  <c r="H6" i="3"/>
  <c r="H5" i="3"/>
  <c r="L5" i="3" s="1"/>
  <c r="G18" i="2"/>
  <c r="G16" i="2"/>
  <c r="L8" i="2"/>
  <c r="L7" i="2"/>
  <c r="G15" i="2"/>
  <c r="F15" i="2"/>
  <c r="G14" i="2"/>
  <c r="G13" i="2"/>
  <c r="G11" i="2"/>
  <c r="G12" i="2"/>
  <c r="G6" i="2"/>
  <c r="F4" i="2"/>
  <c r="G4" i="2" s="1"/>
  <c r="F5" i="2"/>
  <c r="G5" i="2" s="1"/>
  <c r="F6" i="2"/>
  <c r="F7" i="2"/>
  <c r="G7" i="2" s="1"/>
  <c r="F8" i="2"/>
  <c r="G8" i="2" s="1"/>
  <c r="F9" i="2"/>
  <c r="G9" i="2" s="1"/>
  <c r="F10" i="2"/>
  <c r="G10" i="2" s="1"/>
  <c r="F3" i="2"/>
  <c r="G3" i="2" s="1"/>
  <c r="L6" i="3" l="1"/>
  <c r="F19" i="2"/>
  <c r="F21" i="2" s="1"/>
  <c r="G21" i="2" s="1"/>
  <c r="L68" i="3"/>
  <c r="L64" i="3"/>
  <c r="L61" i="3"/>
  <c r="L58" i="3"/>
  <c r="L63" i="3"/>
  <c r="L53" i="3"/>
  <c r="L52" i="3"/>
  <c r="L55" i="3"/>
  <c r="L51" i="3"/>
  <c r="L30" i="3"/>
  <c r="L29" i="3"/>
  <c r="L32" i="3"/>
  <c r="L28" i="3"/>
  <c r="L31" i="3"/>
  <c r="L26" i="3"/>
  <c r="G19" i="2"/>
  <c r="F22" i="2" l="1"/>
  <c r="G22" i="2" s="1"/>
  <c r="S2" i="3" l="1"/>
  <c r="E5" i="3" s="1"/>
  <c r="N5" i="3" s="1"/>
  <c r="O5" i="3" s="1"/>
  <c r="Q5" i="3" s="1"/>
  <c r="R5" i="3" s="1"/>
  <c r="E99" i="3"/>
  <c r="N99" i="3" s="1"/>
  <c r="O99" i="3" s="1"/>
  <c r="Q99" i="3" s="1"/>
  <c r="R99" i="3" s="1"/>
  <c r="E81" i="3"/>
  <c r="N81" i="3" s="1"/>
  <c r="O81" i="3" s="1"/>
  <c r="Q81" i="3" s="1"/>
  <c r="R81" i="3" s="1"/>
  <c r="E45" i="3"/>
  <c r="N45" i="3" s="1"/>
  <c r="O45" i="3" s="1"/>
  <c r="Q45" i="3" s="1"/>
  <c r="R45" i="3" s="1"/>
  <c r="E75" i="3"/>
  <c r="N75" i="3" s="1"/>
  <c r="O75" i="3" s="1"/>
  <c r="Q75" i="3" s="1"/>
  <c r="E11" i="3"/>
  <c r="N11" i="3" s="1"/>
  <c r="O11" i="3" s="1"/>
  <c r="Q11" i="3" s="1"/>
  <c r="R11" i="3" s="1"/>
  <c r="E73" i="3"/>
  <c r="N73" i="3" s="1"/>
  <c r="O73" i="3" s="1"/>
  <c r="Q73" i="3" s="1"/>
  <c r="R73" i="3" s="1"/>
  <c r="E21" i="3"/>
  <c r="N21" i="3" s="1"/>
  <c r="O21" i="3" s="1"/>
  <c r="Q21" i="3" s="1"/>
  <c r="R21" i="3" s="1"/>
  <c r="E72" i="3"/>
  <c r="N72" i="3" s="1"/>
  <c r="O72" i="3" s="1"/>
  <c r="Q72" i="3" s="1"/>
  <c r="R72" i="3" s="1"/>
  <c r="E87" i="3"/>
  <c r="N87" i="3" s="1"/>
  <c r="O87" i="3" s="1"/>
  <c r="Q87" i="3" s="1"/>
  <c r="R87" i="3" s="1"/>
  <c r="E105" i="3"/>
  <c r="N105" i="3" s="1"/>
  <c r="O105" i="3" s="1"/>
  <c r="Q105" i="3" s="1"/>
  <c r="R105" i="3" s="1"/>
  <c r="E106" i="3"/>
  <c r="N106" i="3" s="1"/>
  <c r="O106" i="3" s="1"/>
  <c r="Q106" i="3" s="1"/>
  <c r="R106" i="3" s="1"/>
  <c r="E79" i="3"/>
  <c r="N79" i="3" s="1"/>
  <c r="O79" i="3" s="1"/>
  <c r="Q79" i="3" s="1"/>
  <c r="R79" i="3" s="1"/>
  <c r="E114" i="3"/>
  <c r="N114" i="3" s="1"/>
  <c r="O114" i="3" s="1"/>
  <c r="Q114" i="3" s="1"/>
  <c r="R114" i="3" s="1"/>
  <c r="E67" i="3"/>
  <c r="N67" i="3" s="1"/>
  <c r="O67" i="3" s="1"/>
  <c r="Q67" i="3" s="1"/>
  <c r="R67" i="3" s="1"/>
  <c r="E8" i="3"/>
  <c r="N8" i="3" s="1"/>
  <c r="O8" i="3" s="1"/>
  <c r="Q8" i="3" s="1"/>
  <c r="E44" i="3"/>
  <c r="N44" i="3" s="1"/>
  <c r="O44" i="3" s="1"/>
  <c r="Q44" i="3" s="1"/>
  <c r="R44" i="3" s="1"/>
  <c r="E6" i="3"/>
  <c r="N6" i="3" s="1"/>
  <c r="O6" i="3" s="1"/>
  <c r="Q6" i="3" s="1"/>
  <c r="R6" i="3" s="1"/>
  <c r="E43" i="3"/>
  <c r="N43" i="3" s="1"/>
  <c r="O43" i="3" s="1"/>
  <c r="Q43" i="3" s="1"/>
  <c r="E23" i="3"/>
  <c r="N23" i="3" s="1"/>
  <c r="O23" i="3" s="1"/>
  <c r="Q23" i="3" s="1"/>
  <c r="R23" i="3" s="1"/>
  <c r="E22" i="3"/>
  <c r="N22" i="3" s="1"/>
  <c r="O22" i="3" s="1"/>
  <c r="Q22" i="3" s="1"/>
  <c r="R22" i="3" s="1"/>
  <c r="E55" i="3"/>
  <c r="N55" i="3" s="1"/>
  <c r="O55" i="3" s="1"/>
  <c r="Q55" i="3" s="1"/>
  <c r="R55" i="3" s="1"/>
  <c r="E52" i="3"/>
  <c r="N52" i="3" s="1"/>
  <c r="O52" i="3" s="1"/>
  <c r="Q52" i="3" s="1"/>
  <c r="R52" i="3" s="1"/>
  <c r="E70" i="3"/>
  <c r="N70" i="3" s="1"/>
  <c r="O70" i="3" s="1"/>
  <c r="Q70" i="3" s="1"/>
  <c r="R70" i="3" s="1"/>
  <c r="E13" i="3"/>
  <c r="N13" i="3" s="1"/>
  <c r="O13" i="3" s="1"/>
  <c r="Q13" i="3" s="1"/>
  <c r="R13" i="3" s="1"/>
  <c r="E101" i="3"/>
  <c r="N101" i="3" s="1"/>
  <c r="O101" i="3" s="1"/>
  <c r="Q101" i="3" s="1"/>
  <c r="R101" i="3" s="1"/>
  <c r="E104" i="3"/>
  <c r="N104" i="3" s="1"/>
  <c r="O104" i="3" s="1"/>
  <c r="Q104" i="3" s="1"/>
  <c r="R104" i="3" s="1"/>
  <c r="E98" i="3"/>
  <c r="N98" i="3" s="1"/>
  <c r="O98" i="3" s="1"/>
  <c r="Q98" i="3" s="1"/>
  <c r="R98" i="3" s="1"/>
  <c r="E90" i="3"/>
  <c r="N90" i="3" s="1"/>
  <c r="O90" i="3" s="1"/>
  <c r="Q90" i="3" s="1"/>
  <c r="R90" i="3" s="1"/>
  <c r="E15" i="3"/>
  <c r="N15" i="3" s="1"/>
  <c r="O15" i="3" s="1"/>
  <c r="Q15" i="3" s="1"/>
  <c r="R15" i="3" s="1"/>
  <c r="E61" i="3"/>
  <c r="N61" i="3" s="1"/>
  <c r="O61" i="3" s="1"/>
  <c r="Q61" i="3" s="1"/>
  <c r="E57" i="3"/>
  <c r="N57" i="3" s="1"/>
  <c r="O57" i="3" s="1"/>
  <c r="E18" i="3"/>
  <c r="N18" i="3" s="1"/>
  <c r="O18" i="3" s="1"/>
  <c r="Q18" i="3" s="1"/>
  <c r="R18" i="3" s="1"/>
  <c r="E50" i="3"/>
  <c r="N50" i="3" s="1"/>
  <c r="O50" i="3" s="1"/>
  <c r="Q50" i="3" s="1"/>
  <c r="R50" i="3" s="1"/>
  <c r="E27" i="3"/>
  <c r="N27" i="3" s="1"/>
  <c r="O27" i="3" s="1"/>
  <c r="E41" i="3"/>
  <c r="N41" i="3" s="1"/>
  <c r="O41" i="3" s="1"/>
  <c r="Q41" i="3" s="1"/>
  <c r="R41" i="3" s="1"/>
  <c r="E12" i="3"/>
  <c r="N12" i="3" s="1"/>
  <c r="O12" i="3" s="1"/>
  <c r="Q12" i="3" s="1"/>
  <c r="R12" i="3" s="1"/>
  <c r="E49" i="3"/>
  <c r="N49" i="3" s="1"/>
  <c r="O49" i="3" s="1"/>
  <c r="Q49" i="3" s="1"/>
  <c r="R49" i="3" s="1"/>
  <c r="E19" i="3"/>
  <c r="N19" i="3" s="1"/>
  <c r="O19" i="3" s="1"/>
  <c r="Q19" i="3" s="1"/>
  <c r="R19" i="3" s="1"/>
  <c r="E26" i="3"/>
  <c r="N26" i="3" s="1"/>
  <c r="O26" i="3" s="1"/>
  <c r="Q26" i="3" s="1"/>
  <c r="R26" i="3" s="1"/>
  <c r="E54" i="3"/>
  <c r="N54" i="3" s="1"/>
  <c r="O54" i="3" s="1"/>
  <c r="E80" i="3"/>
  <c r="N80" i="3" s="1"/>
  <c r="O80" i="3" s="1"/>
  <c r="Q80" i="3" s="1"/>
  <c r="R80" i="3" s="1"/>
  <c r="E64" i="3"/>
  <c r="N64" i="3" s="1"/>
  <c r="O64" i="3" s="1"/>
  <c r="Q64" i="3" s="1"/>
  <c r="E10" i="3"/>
  <c r="N10" i="3" s="1"/>
  <c r="O10" i="3" s="1"/>
  <c r="Q10" i="3" s="1"/>
  <c r="R10" i="3" s="1"/>
  <c r="E113" i="3"/>
  <c r="N113" i="3" s="1"/>
  <c r="O113" i="3" s="1"/>
  <c r="Q113" i="3" s="1"/>
  <c r="R113" i="3" s="1"/>
  <c r="E112" i="3"/>
  <c r="N112" i="3" s="1"/>
  <c r="O112" i="3" s="1"/>
  <c r="Q112" i="3" s="1"/>
  <c r="R112" i="3" s="1"/>
  <c r="E60" i="3"/>
  <c r="N60" i="3" s="1"/>
  <c r="O60" i="3" s="1"/>
  <c r="E42" i="3"/>
  <c r="N42" i="3" s="1"/>
  <c r="O42" i="3" s="1"/>
  <c r="E59" i="3"/>
  <c r="N59" i="3" s="1"/>
  <c r="O59" i="3" s="1"/>
  <c r="Q59" i="3" s="1"/>
  <c r="R59" i="3" s="1"/>
  <c r="E56" i="3"/>
  <c r="N56" i="3" s="1"/>
  <c r="O56" i="3" s="1"/>
  <c r="Q56" i="3" s="1"/>
  <c r="R56" i="3" s="1"/>
  <c r="E20" i="3"/>
  <c r="N20" i="3" s="1"/>
  <c r="O20" i="3" s="1"/>
  <c r="Q20" i="3" s="1"/>
  <c r="R20" i="3" s="1"/>
  <c r="E88" i="3"/>
  <c r="N88" i="3" s="1"/>
  <c r="O88" i="3" s="1"/>
  <c r="Q88" i="3" s="1"/>
  <c r="R88" i="3" s="1"/>
  <c r="E24" i="3"/>
  <c r="N24" i="3" s="1"/>
  <c r="O24" i="3" s="1"/>
  <c r="Q24" i="3" s="1"/>
  <c r="R24" i="3" s="1"/>
  <c r="E58" i="3"/>
  <c r="N58" i="3" s="1"/>
  <c r="O58" i="3" s="1"/>
  <c r="Q58" i="3" s="1"/>
  <c r="E94" i="3"/>
  <c r="N94" i="3" s="1"/>
  <c r="O94" i="3" s="1"/>
  <c r="Q94" i="3" s="1"/>
  <c r="R94" i="3" s="1"/>
  <c r="E93" i="3"/>
  <c r="N93" i="3" s="1"/>
  <c r="O93" i="3" s="1"/>
  <c r="Q93" i="3" s="1"/>
  <c r="R93" i="3" s="1"/>
  <c r="E69" i="3"/>
  <c r="N69" i="3" s="1"/>
  <c r="O69" i="3" s="1"/>
  <c r="Q69" i="3" s="1"/>
  <c r="R69" i="3" s="1"/>
  <c r="E91" i="3"/>
  <c r="N91" i="3" s="1"/>
  <c r="O91" i="3" s="1"/>
  <c r="Q91" i="3" s="1"/>
  <c r="R91" i="3" s="1"/>
  <c r="E102" i="3"/>
  <c r="N102" i="3" s="1"/>
  <c r="O102" i="3" s="1"/>
  <c r="Q102" i="3" s="1"/>
  <c r="R102" i="3" s="1"/>
  <c r="E39" i="3"/>
  <c r="N39" i="3" s="1"/>
  <c r="O39" i="3" s="1"/>
  <c r="E97" i="3"/>
  <c r="N97" i="3" s="1"/>
  <c r="O97" i="3" s="1"/>
  <c r="Q97" i="3" s="1"/>
  <c r="R97" i="3" s="1"/>
  <c r="E53" i="3"/>
  <c r="N53" i="3" s="1"/>
  <c r="O53" i="3" s="1"/>
  <c r="Q53" i="3" s="1"/>
  <c r="R53" i="3" s="1"/>
  <c r="E109" i="3"/>
  <c r="N109" i="3" s="1"/>
  <c r="O109" i="3" s="1"/>
  <c r="Q109" i="3" s="1"/>
  <c r="R109" i="3" s="1"/>
  <c r="E51" i="3"/>
  <c r="N51" i="3" s="1"/>
  <c r="O51" i="3" s="1"/>
  <c r="Q51" i="3" s="1"/>
  <c r="R51" i="3" s="1"/>
  <c r="E29" i="3"/>
  <c r="N29" i="3" s="1"/>
  <c r="O29" i="3" s="1"/>
  <c r="Q29" i="3" s="1"/>
  <c r="R29" i="3" s="1"/>
  <c r="E9" i="3"/>
  <c r="N9" i="3" s="1"/>
  <c r="O9" i="3" s="1"/>
  <c r="Q9" i="3" s="1"/>
  <c r="R9" i="3" s="1"/>
  <c r="E38" i="3"/>
  <c r="N38" i="3" s="1"/>
  <c r="O38" i="3" s="1"/>
  <c r="Q38" i="3" s="1"/>
  <c r="R38" i="3" s="1"/>
  <c r="E96" i="3"/>
  <c r="N96" i="3" s="1"/>
  <c r="O96" i="3" s="1"/>
  <c r="Q96" i="3" s="1"/>
  <c r="R96" i="3" s="1"/>
  <c r="E89" i="3"/>
  <c r="N89" i="3" s="1"/>
  <c r="O89" i="3" s="1"/>
  <c r="Q89" i="3" s="1"/>
  <c r="R89" i="3" s="1"/>
  <c r="E48" i="3"/>
  <c r="N48" i="3" s="1"/>
  <c r="O48" i="3" s="1"/>
  <c r="Q48" i="3" s="1"/>
  <c r="R48" i="3" s="1"/>
  <c r="E66" i="3"/>
  <c r="N66" i="3" s="1"/>
  <c r="O66" i="3" s="1"/>
  <c r="Q66" i="3" s="1"/>
  <c r="R66" i="3" s="1"/>
  <c r="E62" i="3"/>
  <c r="N62" i="3" s="1"/>
  <c r="O62" i="3" s="1"/>
  <c r="Q62" i="3" s="1"/>
  <c r="R62" i="3" s="1"/>
  <c r="E37" i="3"/>
  <c r="N37" i="3" s="1"/>
  <c r="O37" i="3" s="1"/>
  <c r="Q37" i="3" s="1"/>
  <c r="R37" i="3" s="1"/>
  <c r="E16" i="3"/>
  <c r="N16" i="3" s="1"/>
  <c r="O16" i="3" s="1"/>
  <c r="Q16" i="3" s="1"/>
  <c r="R16" i="3" s="1"/>
  <c r="E111" i="3"/>
  <c r="N111" i="3" s="1"/>
  <c r="O111" i="3" s="1"/>
  <c r="Q111" i="3" s="1"/>
  <c r="R111" i="3" s="1"/>
  <c r="E71" i="3"/>
  <c r="N71" i="3" s="1"/>
  <c r="O71" i="3" s="1"/>
  <c r="Q71" i="3" s="1"/>
  <c r="R71" i="3" s="1"/>
  <c r="E25" i="3"/>
  <c r="N25" i="3" s="1"/>
  <c r="O25" i="3" s="1"/>
  <c r="Q25" i="3" s="1"/>
  <c r="R25" i="3" s="1"/>
  <c r="E92" i="3"/>
  <c r="N92" i="3" s="1"/>
  <c r="O92" i="3" s="1"/>
  <c r="Q92" i="3" s="1"/>
  <c r="R92" i="3" s="1"/>
  <c r="E77" i="3"/>
  <c r="N77" i="3" s="1"/>
  <c r="O77" i="3" s="1"/>
  <c r="E100" i="3"/>
  <c r="N100" i="3" s="1"/>
  <c r="O100" i="3" s="1"/>
  <c r="Q100" i="3" s="1"/>
  <c r="R100" i="3" s="1"/>
  <c r="E36" i="3"/>
  <c r="N36" i="3" s="1"/>
  <c r="O36" i="3" s="1"/>
  <c r="Q36" i="3" s="1"/>
  <c r="R36" i="3" s="1"/>
  <c r="E95" i="3"/>
  <c r="N95" i="3" s="1"/>
  <c r="O95" i="3" s="1"/>
  <c r="Q95" i="3" s="1"/>
  <c r="R95" i="3" s="1"/>
  <c r="E63" i="3"/>
  <c r="N63" i="3" s="1"/>
  <c r="O63" i="3" s="1"/>
  <c r="E40" i="3"/>
  <c r="N40" i="3" s="1"/>
  <c r="O40" i="3" s="1"/>
  <c r="Q40" i="3" s="1"/>
  <c r="E32" i="3"/>
  <c r="N32" i="3" s="1"/>
  <c r="O32" i="3" s="1"/>
  <c r="Q32" i="3" s="1"/>
  <c r="R32" i="3" s="1"/>
  <c r="E17" i="3"/>
  <c r="N17" i="3" s="1"/>
  <c r="O17" i="3" s="1"/>
  <c r="Q17" i="3" s="1"/>
  <c r="R17" i="3" s="1"/>
  <c r="E110" i="3"/>
  <c r="N110" i="3" s="1"/>
  <c r="O110" i="3" s="1"/>
  <c r="Q110" i="3" s="1"/>
  <c r="R110" i="3" s="1"/>
  <c r="E14" i="3"/>
  <c r="N14" i="3" s="1"/>
  <c r="O14" i="3" s="1"/>
  <c r="Q14" i="3" s="1"/>
  <c r="R14" i="3" s="1"/>
  <c r="E74" i="3"/>
  <c r="N74" i="3" s="1"/>
  <c r="O74" i="3" s="1"/>
  <c r="E68" i="3"/>
  <c r="N68" i="3" s="1"/>
  <c r="O68" i="3" s="1"/>
  <c r="Q68" i="3" s="1"/>
  <c r="R68" i="3" s="1"/>
  <c r="E103" i="3"/>
  <c r="N103" i="3" s="1"/>
  <c r="O103" i="3" s="1"/>
  <c r="Q103" i="3" s="1"/>
  <c r="R103" i="3" s="1"/>
  <c r="E47" i="3"/>
  <c r="N47" i="3" s="1"/>
  <c r="O47" i="3" s="1"/>
  <c r="Q47" i="3" s="1"/>
  <c r="R47" i="3" s="1"/>
  <c r="E35" i="3"/>
  <c r="N35" i="3" s="1"/>
  <c r="O35" i="3" s="1"/>
  <c r="Q35" i="3" s="1"/>
  <c r="R35" i="3" s="1"/>
  <c r="E86" i="3"/>
  <c r="N86" i="3" s="1"/>
  <c r="O86" i="3" s="1"/>
  <c r="Q86" i="3" s="1"/>
  <c r="R86" i="3" s="1"/>
  <c r="E84" i="3"/>
  <c r="N84" i="3" s="1"/>
  <c r="O84" i="3" s="1"/>
  <c r="Q84" i="3" s="1"/>
  <c r="R84" i="3" s="1"/>
  <c r="E46" i="3"/>
  <c r="N46" i="3" s="1"/>
  <c r="O46" i="3" s="1"/>
  <c r="Q46" i="3" s="1"/>
  <c r="R46" i="3" s="1"/>
  <c r="E78" i="3"/>
  <c r="N78" i="3" s="1"/>
  <c r="O78" i="3" s="1"/>
  <c r="Q78" i="3" s="1"/>
  <c r="E85" i="3"/>
  <c r="N85" i="3" s="1"/>
  <c r="O85" i="3" s="1"/>
  <c r="Q85" i="3" s="1"/>
  <c r="R85" i="3" s="1"/>
  <c r="E115" i="3"/>
  <c r="N115" i="3" s="1"/>
  <c r="O115" i="3" s="1"/>
  <c r="Q115" i="3" s="1"/>
  <c r="R115" i="3" s="1"/>
  <c r="E34" i="3"/>
  <c r="N34" i="3" s="1"/>
  <c r="O34" i="3" s="1"/>
  <c r="Q34" i="3" s="1"/>
  <c r="R34" i="3" s="1"/>
  <c r="E108" i="3"/>
  <c r="N108" i="3" s="1"/>
  <c r="O108" i="3" s="1"/>
  <c r="Q108" i="3" s="1"/>
  <c r="R108" i="3" s="1"/>
  <c r="E83" i="3"/>
  <c r="N83" i="3" s="1"/>
  <c r="O83" i="3" s="1"/>
  <c r="Q83" i="3" s="1"/>
  <c r="R83" i="3" s="1"/>
  <c r="E82" i="3"/>
  <c r="N82" i="3" s="1"/>
  <c r="O82" i="3" s="1"/>
  <c r="Q82" i="3" s="1"/>
  <c r="R82" i="3" s="1"/>
  <c r="E31" i="3"/>
  <c r="N31" i="3" s="1"/>
  <c r="O31" i="3" s="1"/>
  <c r="Q31" i="3" s="1"/>
  <c r="R31" i="3" s="1"/>
  <c r="E65" i="3"/>
  <c r="N65" i="3" s="1"/>
  <c r="O65" i="3" s="1"/>
  <c r="Q65" i="3" s="1"/>
  <c r="R65" i="3" s="1"/>
  <c r="E28" i="3"/>
  <c r="N28" i="3" s="1"/>
  <c r="O28" i="3" s="1"/>
  <c r="Q28" i="3" s="1"/>
  <c r="R28" i="3" s="1"/>
  <c r="E76" i="3"/>
  <c r="N76" i="3" s="1"/>
  <c r="O76" i="3" s="1"/>
  <c r="Q76" i="3" s="1"/>
  <c r="R76" i="3" s="1"/>
  <c r="E33" i="3"/>
  <c r="N33" i="3" s="1"/>
  <c r="O33" i="3" s="1"/>
  <c r="Q33" i="3" s="1"/>
  <c r="R33" i="3" s="1"/>
  <c r="E107" i="3"/>
  <c r="N107" i="3" s="1"/>
  <c r="O107" i="3" s="1"/>
  <c r="Q107" i="3" s="1"/>
  <c r="R107" i="3" s="1"/>
  <c r="E30" i="3" l="1"/>
  <c r="N30" i="3" s="1"/>
  <c r="O30" i="3" s="1"/>
  <c r="Q30" i="3" s="1"/>
  <c r="R30" i="3" s="1"/>
  <c r="Q63" i="3"/>
  <c r="R64" i="3"/>
  <c r="R8" i="3"/>
  <c r="Q7" i="3"/>
  <c r="R7" i="3" s="1"/>
  <c r="R40" i="3"/>
  <c r="Q39" i="3"/>
  <c r="R39" i="3" s="1"/>
  <c r="Q60" i="3"/>
  <c r="R60" i="3" s="1"/>
  <c r="R61" i="3"/>
  <c r="R58" i="3"/>
  <c r="Q57" i="3"/>
  <c r="R57" i="3" s="1"/>
  <c r="R43" i="3"/>
  <c r="Q42" i="3"/>
  <c r="R42" i="3" s="1"/>
  <c r="R75" i="3"/>
  <c r="Q74" i="3"/>
  <c r="R74" i="3" s="1"/>
  <c r="R63" i="3"/>
  <c r="Q54" i="3"/>
  <c r="R54" i="3" s="1"/>
  <c r="R78" i="3"/>
  <c r="Q77" i="3"/>
  <c r="R77" i="3" s="1"/>
</calcChain>
</file>

<file path=xl/sharedStrings.xml><?xml version="1.0" encoding="utf-8"?>
<sst xmlns="http://schemas.openxmlformats.org/spreadsheetml/2006/main" count="423" uniqueCount="154">
  <si>
    <t>Descripción</t>
  </si>
  <si>
    <t>Unidad</t>
  </si>
  <si>
    <t>Cantidad</t>
  </si>
  <si>
    <t>Costo Total (USD)</t>
  </si>
  <si>
    <t>Gramos</t>
  </si>
  <si>
    <t>Fundición</t>
  </si>
  <si>
    <t>Pieza</t>
  </si>
  <si>
    <t>Tipo de Pieza</t>
  </si>
  <si>
    <t>Luz</t>
  </si>
  <si>
    <t>Mes</t>
  </si>
  <si>
    <t>Agua</t>
  </si>
  <si>
    <t>Arriendo</t>
  </si>
  <si>
    <t>Herramientas (depreciación)</t>
  </si>
  <si>
    <t>Empaque</t>
  </si>
  <si>
    <t>Tarjetas</t>
  </si>
  <si>
    <t>Ayudante</t>
  </si>
  <si>
    <t>Alquiler de vitrinas</t>
  </si>
  <si>
    <t>Total Costos Indirectos</t>
  </si>
  <si>
    <t>Costo Mensual (COP)</t>
  </si>
  <si>
    <t>Costo (USD)</t>
  </si>
  <si>
    <t>Costos Directos</t>
  </si>
  <si>
    <t>Costos Indirectos</t>
  </si>
  <si>
    <t>Costo Total de Producción</t>
  </si>
  <si>
    <t>Costo (COP)</t>
  </si>
  <si>
    <t>Nombre de Pieza</t>
  </si>
  <si>
    <t># de Pieza</t>
  </si>
  <si>
    <t>Hoja de Mapple Olive con Rubí</t>
  </si>
  <si>
    <t>Tipo de Cambio</t>
  </si>
  <si>
    <t>Costo Total (COP)</t>
  </si>
  <si>
    <t>Precio metal Gramo de Compra</t>
  </si>
  <si>
    <t>peso de compra</t>
  </si>
  <si>
    <t>peso de salida</t>
  </si>
  <si>
    <t>Transporte</t>
  </si>
  <si>
    <t>Total</t>
  </si>
  <si>
    <t>Acidos, Alcohol, Etc</t>
  </si>
  <si>
    <t>Resinas para moldes</t>
  </si>
  <si>
    <t>Precio de Plata Total</t>
  </si>
  <si>
    <t>gramos</t>
  </si>
  <si>
    <t>hrs</t>
  </si>
  <si>
    <t>Gramos Total Salidos Despues de Trabajo</t>
  </si>
  <si>
    <t>Precio por Gramo Sin Ganancia</t>
  </si>
  <si>
    <t>Precio por Gramo Gramo con Ganancia</t>
  </si>
  <si>
    <t>PCG</t>
  </si>
  <si>
    <t>PGC</t>
  </si>
  <si>
    <t>Precios Piedras</t>
  </si>
  <si>
    <t>Piedra</t>
  </si>
  <si>
    <t>Diamante</t>
  </si>
  <si>
    <t>Esmeralda</t>
  </si>
  <si>
    <t>Rubí</t>
  </si>
  <si>
    <t>Zafiro</t>
  </si>
  <si>
    <t>Granate Verde</t>
  </si>
  <si>
    <t>Acuamarina</t>
  </si>
  <si>
    <t>Zafiro Paparadga</t>
  </si>
  <si>
    <t>Granate Rojo</t>
  </si>
  <si>
    <t>Amatista</t>
  </si>
  <si>
    <t>Citrino</t>
  </si>
  <si>
    <t>Peridoto</t>
  </si>
  <si>
    <t>Tanzanita</t>
  </si>
  <si>
    <t>CZ</t>
  </si>
  <si>
    <t>CZ 1mm</t>
  </si>
  <si>
    <t>Corindon Laboratorio</t>
  </si>
  <si>
    <t>Impuesto</t>
  </si>
  <si>
    <t>Dije Bambú</t>
  </si>
  <si>
    <t>Piedra 1</t>
  </si>
  <si>
    <t>Piedra 2</t>
  </si>
  <si>
    <t>No</t>
  </si>
  <si>
    <t>Aretes Transformers Mapple Rojo Con Esmeralda</t>
  </si>
  <si>
    <t>Parte 1 Dijes</t>
  </si>
  <si>
    <t>Parte 2 Aretes</t>
  </si>
  <si>
    <t>Dije Rojo Verde Mapple con 2 Zafiros</t>
  </si>
  <si>
    <t>Bambu Amarillo Verde Con Esmeralda</t>
  </si>
  <si>
    <t>Bambu Verde 84 con Zafiros</t>
  </si>
  <si>
    <t>Broche Pensamientos con Zafiro Paparadga</t>
  </si>
  <si>
    <t>Bambú Verde 83 con Esmeralda</t>
  </si>
  <si>
    <t>Bambú Azul Claro con Acuamarina</t>
  </si>
  <si>
    <t>Bambú Naranja con 2 Rubíes</t>
  </si>
  <si>
    <t>Bambú Amatista con 2 Rubíes</t>
  </si>
  <si>
    <t>Bambú Amarillo con 2 Peridotos</t>
  </si>
  <si>
    <t>Maple Hoja Naranja SM con 2 Esmeraldas</t>
  </si>
  <si>
    <t>Dije Bambú Verde 84 con 5 Rubíes</t>
  </si>
  <si>
    <t>Dije Pensamiento Naranja con 4 Esmeraldas</t>
  </si>
  <si>
    <t>Hoja Maple Color 83 con 2 Zafiros</t>
  </si>
  <si>
    <t>Pensamiento Morado Amarillo con 2 Rubíes</t>
  </si>
  <si>
    <t>Maple Naranja Rosado con 2 Esmeraldas</t>
  </si>
  <si>
    <t>Mapple Verde Amarillo con 2 Granates</t>
  </si>
  <si>
    <t>Pensamiento Azul Claro con 4 Zafiros Dije</t>
  </si>
  <si>
    <t>Orquidea Grande con Esmeralda 1 Kilate</t>
  </si>
  <si>
    <t>Pensamiento Morado con 2 Rubíes</t>
  </si>
  <si>
    <t>Pensamiento Rojo Amarillo con 2 Zafiros Rosados</t>
  </si>
  <si>
    <t>Maple Hoja Roja con 2 Zafiros Amarillos</t>
  </si>
  <si>
    <t>Pensamientos Amarillos con Tsavorita</t>
  </si>
  <si>
    <t>Dije Morado con 4 Diamantes</t>
  </si>
  <si>
    <t>Bambú Doble con 4 CZ y 8 Corindon</t>
  </si>
  <si>
    <t>Manzanilla Blanca con Mariposas con 2CZ 8mm</t>
  </si>
  <si>
    <t>Orquidea Roja Amarilla con 2 CZ Amarillo</t>
  </si>
  <si>
    <t>Dije Maple Naranjo con 2 Esmeraldas</t>
  </si>
  <si>
    <t>Maple Hoja 20a con 2 Esmeraldas</t>
  </si>
  <si>
    <t>Maple Hoja Verde 83 con 2 Zafiros</t>
  </si>
  <si>
    <t>Aretes Transformers Mapple Verde Amarillo con 2 Zafiros</t>
  </si>
  <si>
    <t>Aretes Transformers Pensamiento Blanco con CZ</t>
  </si>
  <si>
    <t>Bambú Naranja con 6 CZ</t>
  </si>
  <si>
    <t>Maple Hoja Color Café con 2 Rubíes</t>
  </si>
  <si>
    <t>Dije Landish Triple 9 CZ 1mm</t>
  </si>
  <si>
    <t>Orquidea Morada con 2 CZ Morados</t>
  </si>
  <si>
    <t>Orquidea Blanca Amarilla con 2 CZ Verdes</t>
  </si>
  <si>
    <t>Orquidea Transformer con 2 Rubíes Lab</t>
  </si>
  <si>
    <t>Orquidea Azul Transformer con 2 Rubíes Lab</t>
  </si>
  <si>
    <t>Orquidea Blanco con Rojo con 2 CZ</t>
  </si>
  <si>
    <t>Aretes Bamboo Doble Verde Morado con 10 Zafiros</t>
  </si>
  <si>
    <t>Maple Hoja Roja con 2 Diamantes</t>
  </si>
  <si>
    <t>Semilla Maple con Esmalte de Vitraje</t>
  </si>
  <si>
    <t>Maple Hoja Verde con 2 Diamantes</t>
  </si>
  <si>
    <t>Pensamiento Azul Claro con 2 Diamantes</t>
  </si>
  <si>
    <t>Pensamiento Morado con 2 Diamantes</t>
  </si>
  <si>
    <t>Transformer Pensamiento Azul con 4 Diamantes</t>
  </si>
  <si>
    <t>Bamboo Amarillo con CZ</t>
  </si>
  <si>
    <t>Aretes Landish 18CZ</t>
  </si>
  <si>
    <t>Landish Largos 1 Tira</t>
  </si>
  <si>
    <t>Landish Largos 3 Tiras</t>
  </si>
  <si>
    <t>Anillo Pensamientos con 1 Diamante Azul Claro</t>
  </si>
  <si>
    <t>Anillo Pensamientos Blanco con CZ</t>
  </si>
  <si>
    <t>Anillo Manzanilla con CZ 8mm</t>
  </si>
  <si>
    <t>Anillo Pensamiento Amarillo Azul con Rubí</t>
  </si>
  <si>
    <t>Anillo Pensamiento Amarillo Con Esmeralda</t>
  </si>
  <si>
    <t>Anillo Pensamiento Rojo con Zafiro</t>
  </si>
  <si>
    <t>Anillo Pensamiento Amarillo Naranja con Esmeralda</t>
  </si>
  <si>
    <t>Anillo Pensamiento Morado con Diamante</t>
  </si>
  <si>
    <t>Anillo Manzanilla Morada con CZ 8mm</t>
  </si>
  <si>
    <t>Anillo Bamboo Verde 2 Esmeraldas</t>
  </si>
  <si>
    <t>Bamboo Sm Rosado Con Rubí Lab</t>
  </si>
  <si>
    <t>Bamboo Sm Azul con Tanzanita</t>
  </si>
  <si>
    <t>Bamboo Sm Con CZ Morado</t>
  </si>
  <si>
    <t>Bamboo Naranja con 2 Rubíes Naturales</t>
  </si>
  <si>
    <t>Bamboo Sm Verde Amarillo con Esmeralda</t>
  </si>
  <si>
    <t>Anillo Manzanilla CZ Amarillo 8mm</t>
  </si>
  <si>
    <t>Anillo Manzanilla CZ Morado 8mm</t>
  </si>
  <si>
    <t>Anillo Manzanilla Azul CZ Amarillo 8mm</t>
  </si>
  <si>
    <t>Anillo Landish 9 CZ 1mm</t>
  </si>
  <si>
    <t>Bamboo Mixto con 9 CZ</t>
  </si>
  <si>
    <t>Maple Hoja Amarillo Naranja con 2 Esmeraldas</t>
  </si>
  <si>
    <t>Cadena</t>
  </si>
  <si>
    <t xml:space="preserve">Aretes Base </t>
  </si>
  <si>
    <t>Tipo</t>
  </si>
  <si>
    <t xml:space="preserve">Unidad </t>
  </si>
  <si>
    <t xml:space="preserve">Costo </t>
  </si>
  <si>
    <t>Piedras Totales</t>
  </si>
  <si>
    <t>Esmalteo</t>
  </si>
  <si>
    <t>Unitario (COP)</t>
  </si>
  <si>
    <t>Total (COP)</t>
  </si>
  <si>
    <t>Total (USD)</t>
  </si>
  <si>
    <t>fotografias y videos</t>
  </si>
  <si>
    <t>costo etiquetas y imprimador por etiquetas</t>
  </si>
  <si>
    <t>total</t>
  </si>
  <si>
    <t>Costo de trabajo hora por 10mil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</si>
</sst>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0" fillId="2" borderId="0" xfId="0" applyNumberFormat="1" applyFill="1"/>
    <xf numFmtId="2" fontId="0" fillId="0" borderId="0" xfId="0" applyNumberFormat="1"/>
    <xf numFmtId="4" fontId="1" fillId="0" borderId="0" xfId="0" applyNumberFormat="1" applyFont="1"/>
    <xf numFmtId="2" fontId="1" fillId="0" borderId="0" xfId="0" applyNumberFormat="1" applyFont="1"/>
    <xf numFmtId="3" fontId="0" fillId="0" borderId="0" xfId="0" applyNumberFormat="1"/>
    <xf numFmtId="1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4" fontId="0" fillId="0" borderId="1" xfId="0" applyNumberFormat="1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4602-1BF4-4E42-87BC-53225BF6B06A}">
  <dimension ref="A2:L22"/>
  <sheetViews>
    <sheetView tabSelected="1" workbookViewId="0">
      <selection activeCell="E29" sqref="E29"/>
    </sheetView>
  </sheetViews>
  <sheetFormatPr defaultRowHeight="14.5" x14ac:dyDescent="0.35"/>
  <cols>
    <col min="1" max="1" width="11.90625" bestFit="1" customWidth="1"/>
    <col min="2" max="2" width="35.6328125" bestFit="1" customWidth="1"/>
    <col min="3" max="3" width="7" bestFit="1" customWidth="1"/>
    <col min="4" max="4" width="8.6328125" bestFit="1" customWidth="1"/>
    <col min="5" max="5" width="18.54296875" bestFit="1" customWidth="1"/>
    <col min="6" max="6" width="15.6328125" bestFit="1" customWidth="1"/>
    <col min="7" max="7" width="15.54296875" bestFit="1" customWidth="1"/>
    <col min="11" max="11" width="34.453125" bestFit="1" customWidth="1"/>
    <col min="12" max="12" width="11.6328125" bestFit="1" customWidth="1"/>
  </cols>
  <sheetData>
    <row r="2" spans="1:12" x14ac:dyDescent="0.35">
      <c r="A2" s="2" t="s">
        <v>7</v>
      </c>
      <c r="B2" s="2" t="s">
        <v>0</v>
      </c>
      <c r="C2" s="2" t="s">
        <v>1</v>
      </c>
      <c r="D2" s="2" t="s">
        <v>2</v>
      </c>
      <c r="E2" s="2" t="s">
        <v>18</v>
      </c>
      <c r="F2" s="1" t="s">
        <v>28</v>
      </c>
      <c r="G2" s="1" t="s">
        <v>3</v>
      </c>
    </row>
    <row r="3" spans="1:12" x14ac:dyDescent="0.35">
      <c r="B3" t="s">
        <v>8</v>
      </c>
      <c r="C3" t="s">
        <v>9</v>
      </c>
      <c r="D3">
        <v>2</v>
      </c>
      <c r="E3" s="3">
        <v>235000</v>
      </c>
      <c r="F3" s="3">
        <f>D3*E3</f>
        <v>470000</v>
      </c>
      <c r="G3" s="5">
        <f>F3/'Costo Directos'!$S$1</f>
        <v>117.5</v>
      </c>
      <c r="K3" t="s">
        <v>5</v>
      </c>
      <c r="L3" s="3">
        <v>1850000</v>
      </c>
    </row>
    <row r="4" spans="1:12" x14ac:dyDescent="0.35">
      <c r="B4" t="s">
        <v>10</v>
      </c>
      <c r="C4" t="s">
        <v>9</v>
      </c>
      <c r="D4">
        <v>2</v>
      </c>
      <c r="E4" s="3">
        <v>35000</v>
      </c>
      <c r="F4" s="3">
        <f t="shared" ref="F4:F10" si="0">D4*E4</f>
        <v>70000</v>
      </c>
      <c r="G4" s="5">
        <f>F4/'Costo Directos'!$S$1</f>
        <v>17.5</v>
      </c>
      <c r="K4" s="3"/>
      <c r="L4" s="3">
        <v>250000</v>
      </c>
    </row>
    <row r="5" spans="1:12" x14ac:dyDescent="0.35">
      <c r="B5" t="s">
        <v>150</v>
      </c>
      <c r="C5" t="s">
        <v>9</v>
      </c>
      <c r="D5">
        <v>2</v>
      </c>
      <c r="E5" s="3">
        <v>1500000</v>
      </c>
      <c r="F5" s="3">
        <f t="shared" si="0"/>
        <v>3000000</v>
      </c>
      <c r="G5" s="5">
        <f>F5/'Costo Directos'!$S$1</f>
        <v>750</v>
      </c>
      <c r="L5" s="3">
        <v>350000</v>
      </c>
    </row>
    <row r="6" spans="1:12" x14ac:dyDescent="0.35">
      <c r="B6" t="s">
        <v>11</v>
      </c>
      <c r="C6" t="s">
        <v>9</v>
      </c>
      <c r="D6">
        <v>2</v>
      </c>
      <c r="E6" s="3">
        <v>300000</v>
      </c>
      <c r="F6" s="3">
        <f t="shared" si="0"/>
        <v>600000</v>
      </c>
      <c r="G6" s="5">
        <f>F6/'Costo Directos'!$S$1</f>
        <v>150</v>
      </c>
      <c r="L6" s="3">
        <v>175000</v>
      </c>
    </row>
    <row r="7" spans="1:12" x14ac:dyDescent="0.35">
      <c r="B7" t="s">
        <v>32</v>
      </c>
      <c r="C7" t="s">
        <v>9</v>
      </c>
      <c r="D7">
        <v>2</v>
      </c>
      <c r="E7" s="3">
        <v>300000</v>
      </c>
      <c r="F7" s="3">
        <f t="shared" si="0"/>
        <v>600000</v>
      </c>
      <c r="G7" s="5">
        <f>F7/'Costo Directos'!$S$1</f>
        <v>150</v>
      </c>
      <c r="L7" s="3">
        <f>200*3600</f>
        <v>720000</v>
      </c>
    </row>
    <row r="8" spans="1:12" x14ac:dyDescent="0.35">
      <c r="B8" t="s">
        <v>12</v>
      </c>
      <c r="C8" t="s">
        <v>9</v>
      </c>
      <c r="D8">
        <v>2</v>
      </c>
      <c r="E8" s="3">
        <v>600000</v>
      </c>
      <c r="F8" s="3">
        <f t="shared" si="0"/>
        <v>1200000</v>
      </c>
      <c r="G8" s="5">
        <f>F8/'Costo Directos'!$S$1</f>
        <v>300</v>
      </c>
      <c r="K8" s="1" t="s">
        <v>33</v>
      </c>
      <c r="L8" s="6">
        <f>SUM(L3:L7)</f>
        <v>3345000</v>
      </c>
    </row>
    <row r="9" spans="1:12" x14ac:dyDescent="0.35">
      <c r="B9" t="s">
        <v>13</v>
      </c>
      <c r="C9" t="s">
        <v>6</v>
      </c>
      <c r="D9">
        <v>100</v>
      </c>
      <c r="E9" s="3">
        <v>3800</v>
      </c>
      <c r="F9" s="3">
        <f t="shared" si="0"/>
        <v>380000</v>
      </c>
      <c r="G9" s="5">
        <f>F9/'Costo Directos'!$S$1</f>
        <v>95</v>
      </c>
      <c r="L9" s="3"/>
    </row>
    <row r="10" spans="1:12" x14ac:dyDescent="0.35">
      <c r="B10" t="s">
        <v>14</v>
      </c>
      <c r="C10" t="s">
        <v>6</v>
      </c>
      <c r="D10">
        <v>400</v>
      </c>
      <c r="E10" s="3">
        <v>950</v>
      </c>
      <c r="F10" s="3">
        <f t="shared" si="0"/>
        <v>380000</v>
      </c>
      <c r="G10" s="5">
        <f>F10/'Costo Directos'!$S$1</f>
        <v>95</v>
      </c>
    </row>
    <row r="11" spans="1:12" x14ac:dyDescent="0.35">
      <c r="B11" t="s">
        <v>15</v>
      </c>
      <c r="C11">
        <v>1</v>
      </c>
      <c r="D11" t="s">
        <v>33</v>
      </c>
      <c r="F11" s="3">
        <v>800000</v>
      </c>
      <c r="G11" s="5">
        <f>F11/'Costo Directos'!$S$1</f>
        <v>200</v>
      </c>
    </row>
    <row r="12" spans="1:12" x14ac:dyDescent="0.35">
      <c r="B12" t="s">
        <v>16</v>
      </c>
      <c r="C12">
        <v>2</v>
      </c>
      <c r="D12" t="s">
        <v>33</v>
      </c>
      <c r="F12" s="3">
        <v>253000</v>
      </c>
      <c r="G12" s="5">
        <f>F12/'Costo Directos'!$S$1</f>
        <v>63.25</v>
      </c>
    </row>
    <row r="13" spans="1:12" x14ac:dyDescent="0.35">
      <c r="B13" t="s">
        <v>34</v>
      </c>
      <c r="D13" t="s">
        <v>33</v>
      </c>
      <c r="F13" s="3">
        <v>600000</v>
      </c>
      <c r="G13" s="5">
        <f>F13/'Costo Directos'!$S$1</f>
        <v>150</v>
      </c>
    </row>
    <row r="14" spans="1:12" x14ac:dyDescent="0.35">
      <c r="B14" t="s">
        <v>35</v>
      </c>
      <c r="D14" t="s">
        <v>33</v>
      </c>
      <c r="F14" s="3">
        <v>2100000</v>
      </c>
      <c r="G14" s="5">
        <f>F14/'Costo Directos'!$S$1</f>
        <v>525</v>
      </c>
    </row>
    <row r="15" spans="1:12" x14ac:dyDescent="0.35">
      <c r="B15" t="s">
        <v>36</v>
      </c>
      <c r="C15" t="s">
        <v>37</v>
      </c>
      <c r="D15">
        <v>950</v>
      </c>
      <c r="E15">
        <v>4200</v>
      </c>
      <c r="F15" s="3">
        <f>D15*E15</f>
        <v>3990000</v>
      </c>
      <c r="G15" s="5">
        <f>F15/'Costo Directos'!$S$1</f>
        <v>997.5</v>
      </c>
    </row>
    <row r="16" spans="1:12" x14ac:dyDescent="0.35">
      <c r="B16" t="s">
        <v>5</v>
      </c>
      <c r="F16" s="3">
        <v>3345000</v>
      </c>
      <c r="G16" s="5">
        <f>F16/'Costo Directos'!$S$1</f>
        <v>836.25</v>
      </c>
    </row>
    <row r="17" spans="2:7" x14ac:dyDescent="0.35">
      <c r="B17" t="s">
        <v>151</v>
      </c>
      <c r="C17" t="s">
        <v>152</v>
      </c>
      <c r="D17">
        <v>1</v>
      </c>
      <c r="E17">
        <v>560000</v>
      </c>
      <c r="F17" s="3">
        <f>D17*E17</f>
        <v>560000</v>
      </c>
      <c r="G17" s="5">
        <f>F17/'Costo Directos'!$S$1</f>
        <v>140</v>
      </c>
    </row>
    <row r="18" spans="2:7" x14ac:dyDescent="0.35">
      <c r="B18" t="s">
        <v>153</v>
      </c>
      <c r="C18" t="s">
        <v>38</v>
      </c>
      <c r="D18">
        <v>750</v>
      </c>
      <c r="F18" s="3">
        <f>D18*10000</f>
        <v>7500000</v>
      </c>
      <c r="G18" s="5">
        <f>F18/'Costo Directos'!$S$1</f>
        <v>1875</v>
      </c>
    </row>
    <row r="19" spans="2:7" x14ac:dyDescent="0.35">
      <c r="B19" s="1" t="s">
        <v>17</v>
      </c>
      <c r="F19" s="6">
        <f>SUM(F3:F18)</f>
        <v>25848000</v>
      </c>
      <c r="G19" s="7">
        <f>SUM(G3:G18)</f>
        <v>6462</v>
      </c>
    </row>
    <row r="20" spans="2:7" x14ac:dyDescent="0.35">
      <c r="B20" s="1" t="s">
        <v>39</v>
      </c>
      <c r="F20">
        <v>509</v>
      </c>
      <c r="G20" s="5"/>
    </row>
    <row r="21" spans="2:7" x14ac:dyDescent="0.35">
      <c r="B21" s="1" t="s">
        <v>40</v>
      </c>
      <c r="F21" s="3">
        <f>F19/F20</f>
        <v>50781.925343811396</v>
      </c>
      <c r="G21" s="5">
        <f>F21/'Costo Directos'!$S$1</f>
        <v>12.695481335952849</v>
      </c>
    </row>
    <row r="22" spans="2:7" x14ac:dyDescent="0.35">
      <c r="B22" s="1" t="s">
        <v>41</v>
      </c>
      <c r="F22" s="3">
        <f>F21*15%+F21</f>
        <v>58399.214145383106</v>
      </c>
      <c r="G22" s="5">
        <f>F22/'Costo Directos'!$S$1</f>
        <v>14.599803536345776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DA23-9692-4477-8781-5ECDC2999384}">
  <sheetPr>
    <pageSetUpPr fitToPage="1"/>
  </sheetPr>
  <dimension ref="A1:V116"/>
  <sheetViews>
    <sheetView topLeftCell="A43" workbookViewId="0">
      <selection activeCell="B49" sqref="B49"/>
    </sheetView>
  </sheetViews>
  <sheetFormatPr defaultRowHeight="14.5" x14ac:dyDescent="0.35"/>
  <cols>
    <col min="1" max="1" width="9.36328125" bestFit="1" customWidth="1"/>
    <col min="2" max="2" width="45.26953125" customWidth="1"/>
    <col min="3" max="3" width="8.6328125" customWidth="1"/>
    <col min="4" max="4" width="10.6328125" customWidth="1"/>
    <col min="5" max="5" width="10.81640625" customWidth="1"/>
    <col min="6" max="6" width="9.81640625" customWidth="1"/>
    <col min="7" max="7" width="11" customWidth="1"/>
    <col min="8" max="8" width="13.08984375" customWidth="1"/>
    <col min="9" max="9" width="9.08984375" customWidth="1"/>
    <col min="10" max="10" width="10.08984375" customWidth="1"/>
    <col min="11" max="11" width="12.54296875" customWidth="1"/>
    <col min="12" max="12" width="21.26953125" customWidth="1"/>
    <col min="13" max="13" width="33.7265625" customWidth="1"/>
    <col min="14" max="14" width="13.26953125" customWidth="1"/>
    <col min="15" max="15" width="8.90625" bestFit="1" customWidth="1"/>
    <col min="16" max="16" width="7.36328125" bestFit="1" customWidth="1"/>
    <col min="17" max="17" width="10.453125" bestFit="1" customWidth="1"/>
    <col min="18" max="18" width="14" bestFit="1" customWidth="1"/>
    <col min="19" max="19" width="9.08984375" bestFit="1" customWidth="1"/>
    <col min="21" max="21" width="18.08984375" bestFit="1" customWidth="1"/>
    <col min="22" max="22" width="13.6328125" bestFit="1" customWidth="1"/>
  </cols>
  <sheetData>
    <row r="1" spans="1:22" x14ac:dyDescent="0.35">
      <c r="R1" s="1" t="s">
        <v>27</v>
      </c>
      <c r="S1" s="4">
        <v>4000</v>
      </c>
    </row>
    <row r="2" spans="1:22" x14ac:dyDescent="0.35">
      <c r="R2" s="1" t="s">
        <v>43</v>
      </c>
      <c r="S2" s="4">
        <f>'Costos Indirectos y Fijos'!F22</f>
        <v>58399.214145383106</v>
      </c>
      <c r="U2" s="1" t="s">
        <v>45</v>
      </c>
      <c r="V2" s="1" t="s">
        <v>44</v>
      </c>
    </row>
    <row r="3" spans="1:22" x14ac:dyDescent="0.35">
      <c r="A3" s="10"/>
      <c r="B3" s="10"/>
      <c r="C3" s="10"/>
      <c r="D3" s="10"/>
      <c r="E3" s="10"/>
      <c r="F3" s="16" t="s">
        <v>63</v>
      </c>
      <c r="G3" s="16"/>
      <c r="H3" s="16"/>
      <c r="I3" s="16" t="s">
        <v>64</v>
      </c>
      <c r="J3" s="16"/>
      <c r="K3" s="16"/>
      <c r="L3" s="10"/>
      <c r="M3" s="10"/>
      <c r="N3" s="10"/>
      <c r="O3" s="10"/>
      <c r="P3" s="10"/>
      <c r="Q3" s="10"/>
      <c r="R3" s="11" t="s">
        <v>61</v>
      </c>
      <c r="S3" s="4">
        <v>0.19</v>
      </c>
      <c r="U3" t="s">
        <v>46</v>
      </c>
      <c r="V3" s="8">
        <v>75000</v>
      </c>
    </row>
    <row r="4" spans="1:22" x14ac:dyDescent="0.35">
      <c r="A4" s="12" t="s">
        <v>25</v>
      </c>
      <c r="B4" s="12" t="s">
        <v>24</v>
      </c>
      <c r="C4" s="12" t="s">
        <v>1</v>
      </c>
      <c r="D4" s="12" t="s">
        <v>2</v>
      </c>
      <c r="E4" s="12" t="s">
        <v>42</v>
      </c>
      <c r="F4" s="12" t="s">
        <v>142</v>
      </c>
      <c r="G4" s="12" t="s">
        <v>143</v>
      </c>
      <c r="H4" s="12" t="s">
        <v>144</v>
      </c>
      <c r="I4" s="12" t="s">
        <v>142</v>
      </c>
      <c r="J4" s="12" t="s">
        <v>143</v>
      </c>
      <c r="K4" s="12" t="s">
        <v>144</v>
      </c>
      <c r="L4" s="12" t="s">
        <v>145</v>
      </c>
      <c r="M4" s="12" t="s">
        <v>146</v>
      </c>
      <c r="N4" s="12" t="s">
        <v>147</v>
      </c>
      <c r="O4" s="12" t="s">
        <v>61</v>
      </c>
      <c r="P4" s="12" t="s">
        <v>140</v>
      </c>
      <c r="Q4" s="12" t="s">
        <v>148</v>
      </c>
      <c r="R4" s="12" t="s">
        <v>149</v>
      </c>
      <c r="U4" t="s">
        <v>47</v>
      </c>
      <c r="V4" s="8">
        <v>38000</v>
      </c>
    </row>
    <row r="5" spans="1:22" x14ac:dyDescent="0.35">
      <c r="A5" s="10">
        <v>1</v>
      </c>
      <c r="B5" s="10" t="s">
        <v>26</v>
      </c>
      <c r="C5" s="10" t="s">
        <v>4</v>
      </c>
      <c r="D5" s="10">
        <v>5.5339999999999998</v>
      </c>
      <c r="E5" s="13">
        <f>D5*$S$2</f>
        <v>323181.25108055008</v>
      </c>
      <c r="F5" s="10" t="s">
        <v>48</v>
      </c>
      <c r="G5" s="14">
        <v>2</v>
      </c>
      <c r="H5" s="14">
        <f>VLOOKUP(F5,$U$2:$V$17,2,FALSE)</f>
        <v>50000</v>
      </c>
      <c r="I5" s="14" t="s">
        <v>65</v>
      </c>
      <c r="J5" s="14"/>
      <c r="K5" s="14"/>
      <c r="L5" s="13">
        <f>(G5*H5)+(J5*K5)</f>
        <v>100000</v>
      </c>
      <c r="M5" s="13">
        <v>50000</v>
      </c>
      <c r="N5" s="13">
        <f>E5+L5+M5</f>
        <v>473181.25108055008</v>
      </c>
      <c r="O5" s="13">
        <f>N5+(N5*$S$3)</f>
        <v>563085.68878585461</v>
      </c>
      <c r="P5" s="13"/>
      <c r="Q5" s="13">
        <f>O5+P5</f>
        <v>563085.68878585461</v>
      </c>
      <c r="R5" s="15">
        <f>Q5/$S$1</f>
        <v>140.77142219646365</v>
      </c>
      <c r="U5" t="s">
        <v>48</v>
      </c>
      <c r="V5" s="8">
        <v>50000</v>
      </c>
    </row>
    <row r="6" spans="1:22" x14ac:dyDescent="0.35">
      <c r="A6" s="10">
        <v>2</v>
      </c>
      <c r="B6" s="10" t="s">
        <v>62</v>
      </c>
      <c r="C6" s="10" t="s">
        <v>4</v>
      </c>
      <c r="D6" s="10">
        <v>1.87</v>
      </c>
      <c r="E6" s="13">
        <f>D6*$S$2</f>
        <v>109206.53045186642</v>
      </c>
      <c r="F6" s="10" t="s">
        <v>55</v>
      </c>
      <c r="G6" s="10">
        <v>2</v>
      </c>
      <c r="H6" s="14">
        <f>VLOOKUP(F6,$U$2:$V$17,2,FALSE)</f>
        <v>25000</v>
      </c>
      <c r="I6" s="10" t="s">
        <v>54</v>
      </c>
      <c r="J6" s="10">
        <v>3</v>
      </c>
      <c r="K6" s="10">
        <f>VLOOKUP(I6,$U$2:$V$17,2,FALSE)</f>
        <v>25000</v>
      </c>
      <c r="L6" s="13">
        <f>(G6*H6)+(J6*K6)</f>
        <v>125000</v>
      </c>
      <c r="M6" s="13">
        <v>50000</v>
      </c>
      <c r="N6" s="13">
        <f>E6+L6+M6</f>
        <v>284206.53045186645</v>
      </c>
      <c r="O6" s="13">
        <f>N6+(N6*$S$3)</f>
        <v>338205.77123772108</v>
      </c>
      <c r="P6" s="13">
        <v>45000</v>
      </c>
      <c r="Q6" s="13">
        <f>O6+P6</f>
        <v>383205.77123772108</v>
      </c>
      <c r="R6" s="15">
        <f t="shared" ref="R6:R69" si="0">Q6/$S$1</f>
        <v>95.80144280943027</v>
      </c>
      <c r="U6" t="s">
        <v>49</v>
      </c>
      <c r="V6" s="8">
        <v>50000</v>
      </c>
    </row>
    <row r="7" spans="1:22" x14ac:dyDescent="0.35">
      <c r="A7" s="10">
        <v>3</v>
      </c>
      <c r="B7" s="10" t="s">
        <v>66</v>
      </c>
      <c r="C7" s="10" t="s">
        <v>4</v>
      </c>
      <c r="D7" s="10">
        <v>5.7119999999999997</v>
      </c>
      <c r="E7" s="13"/>
      <c r="F7" s="10"/>
      <c r="G7" s="10"/>
      <c r="H7" s="14"/>
      <c r="I7" s="10"/>
      <c r="J7" s="10"/>
      <c r="K7" s="10"/>
      <c r="L7" s="13"/>
      <c r="M7" s="10"/>
      <c r="N7" s="13"/>
      <c r="O7" s="13"/>
      <c r="P7" s="10"/>
      <c r="Q7" s="13">
        <f>Q8+Q9</f>
        <v>546895.81032612966</v>
      </c>
      <c r="R7" s="15">
        <f t="shared" si="0"/>
        <v>136.72395258153242</v>
      </c>
      <c r="U7" t="s">
        <v>50</v>
      </c>
      <c r="V7" s="8">
        <v>30000</v>
      </c>
    </row>
    <row r="8" spans="1:22" x14ac:dyDescent="0.35">
      <c r="A8" s="10">
        <v>3.1</v>
      </c>
      <c r="B8" s="10" t="s">
        <v>67</v>
      </c>
      <c r="C8" s="10" t="s">
        <v>4</v>
      </c>
      <c r="D8" s="10">
        <v>4.3730000000000002</v>
      </c>
      <c r="E8" s="13">
        <f t="shared" ref="E8:E26" si="1">D8*$S$2</f>
        <v>255379.76345776033</v>
      </c>
      <c r="F8" s="10" t="s">
        <v>47</v>
      </c>
      <c r="G8" s="10">
        <v>2</v>
      </c>
      <c r="H8" s="14">
        <f t="shared" ref="H8:H69" si="2">VLOOKUP(F8,$U$2:$V$17,2,FALSE)</f>
        <v>38000</v>
      </c>
      <c r="I8" s="10" t="s">
        <v>65</v>
      </c>
      <c r="J8" s="10"/>
      <c r="K8" s="10"/>
      <c r="L8" s="13">
        <f>(G8*H8)+(J8*K8)</f>
        <v>76000</v>
      </c>
      <c r="M8" s="13">
        <v>50000</v>
      </c>
      <c r="N8" s="13">
        <f>E8+L8+M8</f>
        <v>381379.76345776033</v>
      </c>
      <c r="O8" s="13">
        <f t="shared" ref="O8:O10" si="3">N8+(N8*$S$3)</f>
        <v>453841.91851473477</v>
      </c>
      <c r="P8" s="10">
        <v>0</v>
      </c>
      <c r="Q8" s="13">
        <f t="shared" ref="Q8" si="4">O8+P8</f>
        <v>453841.91851473477</v>
      </c>
      <c r="R8" s="15">
        <f t="shared" si="0"/>
        <v>113.4604796286837</v>
      </c>
      <c r="U8" t="s">
        <v>51</v>
      </c>
      <c r="V8" s="8">
        <v>45000</v>
      </c>
    </row>
    <row r="9" spans="1:22" x14ac:dyDescent="0.35">
      <c r="A9" s="10">
        <v>3.2</v>
      </c>
      <c r="B9" s="10" t="s">
        <v>68</v>
      </c>
      <c r="C9" s="10" t="s">
        <v>4</v>
      </c>
      <c r="D9" s="10">
        <v>1.339</v>
      </c>
      <c r="E9" s="13">
        <f t="shared" si="1"/>
        <v>78196.547740667971</v>
      </c>
      <c r="F9" s="10" t="s">
        <v>65</v>
      </c>
      <c r="G9" s="10"/>
      <c r="H9" s="14"/>
      <c r="I9" s="10" t="s">
        <v>65</v>
      </c>
      <c r="J9" s="10"/>
      <c r="K9" s="10"/>
      <c r="L9" s="13">
        <f t="shared" ref="L9:L72" si="5">(G9*H9)+(J9*K9)</f>
        <v>0</v>
      </c>
      <c r="M9" s="13">
        <v>0</v>
      </c>
      <c r="N9" s="13">
        <f>E9+L9+M9</f>
        <v>78196.547740667971</v>
      </c>
      <c r="O9" s="13">
        <f t="shared" si="3"/>
        <v>93053.891811394889</v>
      </c>
      <c r="P9" s="10">
        <v>0</v>
      </c>
      <c r="Q9" s="13">
        <f>O9+P9</f>
        <v>93053.891811394889</v>
      </c>
      <c r="R9" s="15">
        <f t="shared" si="0"/>
        <v>23.263472952848723</v>
      </c>
      <c r="U9" t="s">
        <v>52</v>
      </c>
      <c r="V9" s="8">
        <v>100000</v>
      </c>
    </row>
    <row r="10" spans="1:22" x14ac:dyDescent="0.35">
      <c r="A10" s="10">
        <v>4</v>
      </c>
      <c r="B10" s="10" t="s">
        <v>69</v>
      </c>
      <c r="C10" s="10" t="s">
        <v>4</v>
      </c>
      <c r="D10" s="10">
        <v>3.15</v>
      </c>
      <c r="E10" s="13">
        <f t="shared" si="1"/>
        <v>183957.52455795679</v>
      </c>
      <c r="F10" s="10" t="s">
        <v>49</v>
      </c>
      <c r="G10" s="10">
        <v>2</v>
      </c>
      <c r="H10" s="14">
        <f t="shared" si="2"/>
        <v>50000</v>
      </c>
      <c r="I10" s="10" t="s">
        <v>65</v>
      </c>
      <c r="J10" s="10"/>
      <c r="K10" s="10"/>
      <c r="L10" s="13">
        <f t="shared" si="5"/>
        <v>100000</v>
      </c>
      <c r="M10" s="13">
        <v>50000</v>
      </c>
      <c r="N10" s="13">
        <f>E10+L10+M10</f>
        <v>333957.52455795679</v>
      </c>
      <c r="O10" s="13">
        <f t="shared" si="3"/>
        <v>397409.45422396855</v>
      </c>
      <c r="P10" s="13">
        <v>45000</v>
      </c>
      <c r="Q10" s="13">
        <f>O10+P10</f>
        <v>442409.45422396855</v>
      </c>
      <c r="R10" s="15">
        <f t="shared" si="0"/>
        <v>110.60236355599214</v>
      </c>
      <c r="U10" t="s">
        <v>53</v>
      </c>
      <c r="V10" s="8">
        <v>25000</v>
      </c>
    </row>
    <row r="11" spans="1:22" x14ac:dyDescent="0.35">
      <c r="A11" s="10">
        <v>5</v>
      </c>
      <c r="B11" s="10" t="s">
        <v>70</v>
      </c>
      <c r="C11" s="10" t="s">
        <v>4</v>
      </c>
      <c r="D11" s="10">
        <v>2.69</v>
      </c>
      <c r="E11" s="13">
        <f t="shared" si="1"/>
        <v>157093.88605108054</v>
      </c>
      <c r="F11" s="10" t="s">
        <v>47</v>
      </c>
      <c r="G11" s="10">
        <v>2</v>
      </c>
      <c r="H11" s="14">
        <f t="shared" si="2"/>
        <v>38000</v>
      </c>
      <c r="I11" s="10" t="s">
        <v>65</v>
      </c>
      <c r="J11" s="10"/>
      <c r="K11" s="10"/>
      <c r="L11" s="13">
        <f t="shared" si="5"/>
        <v>76000</v>
      </c>
      <c r="M11" s="13">
        <v>50000</v>
      </c>
      <c r="N11" s="13">
        <f>E11+L11+M11</f>
        <v>283093.88605108054</v>
      </c>
      <c r="O11" s="13">
        <f>N11+(N11*$S$3)</f>
        <v>336881.72440078587</v>
      </c>
      <c r="P11" s="10">
        <v>0</v>
      </c>
      <c r="Q11" s="13">
        <f>O11+P11</f>
        <v>336881.72440078587</v>
      </c>
      <c r="R11" s="15">
        <f t="shared" si="0"/>
        <v>84.220431100196464</v>
      </c>
      <c r="U11" t="s">
        <v>54</v>
      </c>
      <c r="V11" s="8">
        <v>25000</v>
      </c>
    </row>
    <row r="12" spans="1:22" x14ac:dyDescent="0.35">
      <c r="A12" s="10">
        <v>6</v>
      </c>
      <c r="B12" s="10" t="s">
        <v>71</v>
      </c>
      <c r="C12" s="10" t="s">
        <v>4</v>
      </c>
      <c r="D12" s="10">
        <v>3.0590000000000002</v>
      </c>
      <c r="E12" s="13">
        <f t="shared" si="1"/>
        <v>178643.19607072693</v>
      </c>
      <c r="F12" s="10" t="s">
        <v>49</v>
      </c>
      <c r="G12" s="10">
        <v>2</v>
      </c>
      <c r="H12" s="14">
        <f t="shared" si="2"/>
        <v>50000</v>
      </c>
      <c r="I12" s="10" t="s">
        <v>65</v>
      </c>
      <c r="J12" s="10"/>
      <c r="K12" s="10"/>
      <c r="L12" s="13">
        <f t="shared" si="5"/>
        <v>100000</v>
      </c>
      <c r="M12" s="13">
        <v>50000</v>
      </c>
      <c r="N12" s="13">
        <f t="shared" ref="N12:N75" si="6">E12+L12+M12</f>
        <v>328643.19607072696</v>
      </c>
      <c r="O12" s="13">
        <f t="shared" ref="O12:O75" si="7">N12+(N12*$S$3)</f>
        <v>391085.40332416509</v>
      </c>
      <c r="P12" s="10">
        <v>0</v>
      </c>
      <c r="Q12" s="13">
        <f>O12+P12</f>
        <v>391085.40332416509</v>
      </c>
      <c r="R12" s="15">
        <f t="shared" si="0"/>
        <v>97.771350831041275</v>
      </c>
      <c r="U12" t="s">
        <v>55</v>
      </c>
      <c r="V12" s="8">
        <v>25000</v>
      </c>
    </row>
    <row r="13" spans="1:22" x14ac:dyDescent="0.35">
      <c r="A13" s="10">
        <v>7</v>
      </c>
      <c r="B13" s="10" t="s">
        <v>72</v>
      </c>
      <c r="C13" s="10" t="s">
        <v>4</v>
      </c>
      <c r="D13" s="10">
        <v>10.343999999999999</v>
      </c>
      <c r="E13" s="13">
        <f t="shared" si="1"/>
        <v>604081.47111984284</v>
      </c>
      <c r="F13" s="10" t="s">
        <v>52</v>
      </c>
      <c r="G13" s="10">
        <v>1</v>
      </c>
      <c r="H13" s="14">
        <f t="shared" si="2"/>
        <v>100000</v>
      </c>
      <c r="I13" s="10"/>
      <c r="J13" s="10"/>
      <c r="K13" s="10"/>
      <c r="L13" s="13">
        <f t="shared" si="5"/>
        <v>100000</v>
      </c>
      <c r="M13" s="13">
        <v>50000</v>
      </c>
      <c r="N13" s="13">
        <f t="shared" si="6"/>
        <v>754081.47111984284</v>
      </c>
      <c r="O13" s="13">
        <f t="shared" si="7"/>
        <v>897356.95063261292</v>
      </c>
      <c r="P13" s="10">
        <v>0</v>
      </c>
      <c r="Q13" s="13">
        <f t="shared" ref="Q13:Q48" si="8">O13+P13</f>
        <v>897356.95063261292</v>
      </c>
      <c r="R13" s="15">
        <f t="shared" si="0"/>
        <v>224.33923765815322</v>
      </c>
      <c r="U13" t="s">
        <v>56</v>
      </c>
      <c r="V13" s="8">
        <v>25000</v>
      </c>
    </row>
    <row r="14" spans="1:22" x14ac:dyDescent="0.35">
      <c r="A14" s="10">
        <v>8</v>
      </c>
      <c r="B14" s="10" t="s">
        <v>73</v>
      </c>
      <c r="C14" s="10" t="s">
        <v>4</v>
      </c>
      <c r="D14" s="10">
        <v>1.91</v>
      </c>
      <c r="E14" s="13">
        <f t="shared" si="1"/>
        <v>111542.49901768172</v>
      </c>
      <c r="F14" s="10" t="s">
        <v>47</v>
      </c>
      <c r="G14" s="10">
        <v>2</v>
      </c>
      <c r="H14" s="14">
        <f t="shared" si="2"/>
        <v>38000</v>
      </c>
      <c r="I14" s="10"/>
      <c r="J14" s="10"/>
      <c r="K14" s="10"/>
      <c r="L14" s="13">
        <f t="shared" si="5"/>
        <v>76000</v>
      </c>
      <c r="M14" s="13">
        <v>50000</v>
      </c>
      <c r="N14" s="13">
        <f t="shared" si="6"/>
        <v>237542.49901768172</v>
      </c>
      <c r="O14" s="13">
        <f t="shared" si="7"/>
        <v>282675.57383104123</v>
      </c>
      <c r="P14" s="10">
        <v>0</v>
      </c>
      <c r="Q14" s="13">
        <f t="shared" si="8"/>
        <v>282675.57383104123</v>
      </c>
      <c r="R14" s="15">
        <f t="shared" si="0"/>
        <v>70.668893457760305</v>
      </c>
      <c r="U14" t="s">
        <v>57</v>
      </c>
      <c r="V14" s="8">
        <v>35000</v>
      </c>
    </row>
    <row r="15" spans="1:22" x14ac:dyDescent="0.35">
      <c r="A15" s="10">
        <v>9</v>
      </c>
      <c r="B15" s="10" t="s">
        <v>74</v>
      </c>
      <c r="C15" s="10" t="s">
        <v>4</v>
      </c>
      <c r="D15" s="10">
        <v>1.909</v>
      </c>
      <c r="E15" s="13">
        <f t="shared" si="1"/>
        <v>111484.09980353634</v>
      </c>
      <c r="F15" s="10" t="s">
        <v>51</v>
      </c>
      <c r="G15" s="10">
        <v>2</v>
      </c>
      <c r="H15" s="14">
        <f t="shared" si="2"/>
        <v>45000</v>
      </c>
      <c r="I15" s="10"/>
      <c r="J15" s="10"/>
      <c r="K15" s="10"/>
      <c r="L15" s="13">
        <f t="shared" si="5"/>
        <v>90000</v>
      </c>
      <c r="M15" s="13">
        <v>50000</v>
      </c>
      <c r="N15" s="13">
        <f t="shared" si="6"/>
        <v>251484.09980353634</v>
      </c>
      <c r="O15" s="13">
        <f t="shared" si="7"/>
        <v>299266.07876620826</v>
      </c>
      <c r="P15" s="10">
        <v>0</v>
      </c>
      <c r="Q15" s="13">
        <f t="shared" si="8"/>
        <v>299266.07876620826</v>
      </c>
      <c r="R15" s="15">
        <f t="shared" si="0"/>
        <v>74.81651969155206</v>
      </c>
      <c r="U15" t="s">
        <v>59</v>
      </c>
      <c r="V15" s="8">
        <v>300</v>
      </c>
    </row>
    <row r="16" spans="1:22" x14ac:dyDescent="0.35">
      <c r="A16" s="10">
        <v>10</v>
      </c>
      <c r="B16" s="10" t="s">
        <v>76</v>
      </c>
      <c r="C16" s="10" t="s">
        <v>4</v>
      </c>
      <c r="D16" s="10">
        <v>3.1</v>
      </c>
      <c r="E16" s="13">
        <f t="shared" si="1"/>
        <v>181037.56385068764</v>
      </c>
      <c r="F16" s="10" t="s">
        <v>48</v>
      </c>
      <c r="G16" s="10">
        <v>2</v>
      </c>
      <c r="H16" s="14">
        <f t="shared" si="2"/>
        <v>50000</v>
      </c>
      <c r="I16" s="10"/>
      <c r="J16" s="10"/>
      <c r="K16" s="10"/>
      <c r="L16" s="13">
        <f t="shared" si="5"/>
        <v>100000</v>
      </c>
      <c r="M16" s="13">
        <v>50000</v>
      </c>
      <c r="N16" s="13">
        <f t="shared" si="6"/>
        <v>331037.56385068764</v>
      </c>
      <c r="O16" s="13">
        <f t="shared" si="7"/>
        <v>393934.70098231832</v>
      </c>
      <c r="P16" s="10">
        <v>0</v>
      </c>
      <c r="Q16" s="13">
        <f t="shared" si="8"/>
        <v>393934.70098231832</v>
      </c>
      <c r="R16" s="15">
        <f t="shared" si="0"/>
        <v>98.483675245579576</v>
      </c>
      <c r="U16" t="s">
        <v>58</v>
      </c>
      <c r="V16" s="8">
        <v>2000</v>
      </c>
    </row>
    <row r="17" spans="1:22" x14ac:dyDescent="0.35">
      <c r="A17" s="10">
        <v>11</v>
      </c>
      <c r="B17" s="10" t="s">
        <v>75</v>
      </c>
      <c r="C17" s="10" t="s">
        <v>4</v>
      </c>
      <c r="D17" s="10">
        <v>1.929</v>
      </c>
      <c r="E17" s="13">
        <f t="shared" si="1"/>
        <v>112652.08408644401</v>
      </c>
      <c r="F17" s="10" t="s">
        <v>48</v>
      </c>
      <c r="G17" s="10">
        <v>2</v>
      </c>
      <c r="H17" s="14">
        <f t="shared" si="2"/>
        <v>50000</v>
      </c>
      <c r="I17" s="10"/>
      <c r="J17" s="10"/>
      <c r="K17" s="10"/>
      <c r="L17" s="13">
        <f t="shared" si="5"/>
        <v>100000</v>
      </c>
      <c r="M17" s="13">
        <v>50000</v>
      </c>
      <c r="N17" s="13">
        <f t="shared" si="6"/>
        <v>262652.084086444</v>
      </c>
      <c r="O17" s="13">
        <f t="shared" si="7"/>
        <v>312555.98006286833</v>
      </c>
      <c r="P17" s="10">
        <v>0</v>
      </c>
      <c r="Q17" s="13">
        <f t="shared" si="8"/>
        <v>312555.98006286833</v>
      </c>
      <c r="R17" s="15">
        <f t="shared" si="0"/>
        <v>78.138995015717086</v>
      </c>
      <c r="U17" t="s">
        <v>60</v>
      </c>
      <c r="V17" s="8">
        <v>2500</v>
      </c>
    </row>
    <row r="18" spans="1:22" x14ac:dyDescent="0.35">
      <c r="A18" s="10">
        <v>12</v>
      </c>
      <c r="B18" s="10" t="s">
        <v>77</v>
      </c>
      <c r="C18" s="10" t="s">
        <v>4</v>
      </c>
      <c r="D18" s="10">
        <v>3.23</v>
      </c>
      <c r="E18" s="13">
        <f t="shared" si="1"/>
        <v>188629.46168958742</v>
      </c>
      <c r="F18" s="10" t="s">
        <v>56</v>
      </c>
      <c r="G18" s="10">
        <v>2</v>
      </c>
      <c r="H18" s="14">
        <f t="shared" si="2"/>
        <v>25000</v>
      </c>
      <c r="I18" s="10"/>
      <c r="J18" s="10"/>
      <c r="K18" s="10"/>
      <c r="L18" s="13">
        <f t="shared" si="5"/>
        <v>50000</v>
      </c>
      <c r="M18" s="13">
        <v>50000</v>
      </c>
      <c r="N18" s="13">
        <f t="shared" si="6"/>
        <v>288629.46168958745</v>
      </c>
      <c r="O18" s="13">
        <f t="shared" si="7"/>
        <v>343469.05941060907</v>
      </c>
      <c r="P18" s="10">
        <v>0</v>
      </c>
      <c r="Q18" s="13">
        <f t="shared" si="8"/>
        <v>343469.05941060907</v>
      </c>
      <c r="R18" s="15">
        <f t="shared" si="0"/>
        <v>85.867264852652269</v>
      </c>
    </row>
    <row r="19" spans="1:22" x14ac:dyDescent="0.35">
      <c r="A19" s="10">
        <v>13</v>
      </c>
      <c r="B19" s="10" t="s">
        <v>78</v>
      </c>
      <c r="C19" s="10" t="s">
        <v>4</v>
      </c>
      <c r="D19" s="10">
        <v>3.2130000000000001</v>
      </c>
      <c r="E19" s="13">
        <f t="shared" si="1"/>
        <v>187636.67504911593</v>
      </c>
      <c r="F19" s="10" t="s">
        <v>47</v>
      </c>
      <c r="G19" s="10">
        <v>2</v>
      </c>
      <c r="H19" s="14">
        <f t="shared" si="2"/>
        <v>38000</v>
      </c>
      <c r="I19" s="10"/>
      <c r="J19" s="10"/>
      <c r="K19" s="10"/>
      <c r="L19" s="13">
        <f t="shared" si="5"/>
        <v>76000</v>
      </c>
      <c r="M19" s="13">
        <v>50000</v>
      </c>
      <c r="N19" s="13">
        <f t="shared" si="6"/>
        <v>313636.6750491159</v>
      </c>
      <c r="O19" s="13">
        <f t="shared" si="7"/>
        <v>373227.64330844791</v>
      </c>
      <c r="P19" s="10">
        <v>0</v>
      </c>
      <c r="Q19" s="13">
        <f t="shared" si="8"/>
        <v>373227.64330844791</v>
      </c>
      <c r="R19" s="15">
        <f t="shared" si="0"/>
        <v>93.306910827111977</v>
      </c>
    </row>
    <row r="20" spans="1:22" x14ac:dyDescent="0.35">
      <c r="A20" s="10">
        <v>14</v>
      </c>
      <c r="B20" s="10" t="s">
        <v>79</v>
      </c>
      <c r="C20" s="10" t="s">
        <v>4</v>
      </c>
      <c r="D20" s="10">
        <v>1.931</v>
      </c>
      <c r="E20" s="13">
        <f t="shared" si="1"/>
        <v>112768.88251473478</v>
      </c>
      <c r="F20" s="10" t="s">
        <v>48</v>
      </c>
      <c r="G20" s="10">
        <v>5</v>
      </c>
      <c r="H20" s="14">
        <f t="shared" si="2"/>
        <v>50000</v>
      </c>
      <c r="I20" s="10"/>
      <c r="J20" s="10"/>
      <c r="K20" s="10"/>
      <c r="L20" s="13">
        <f t="shared" si="5"/>
        <v>250000</v>
      </c>
      <c r="M20" s="13">
        <v>50000</v>
      </c>
      <c r="N20" s="13">
        <f t="shared" si="6"/>
        <v>412768.88251473475</v>
      </c>
      <c r="O20" s="13">
        <f t="shared" si="7"/>
        <v>491194.97019253438</v>
      </c>
      <c r="P20" s="13">
        <v>45000</v>
      </c>
      <c r="Q20" s="13">
        <f>O20+P20</f>
        <v>536194.97019253438</v>
      </c>
      <c r="R20" s="15">
        <f t="shared" si="0"/>
        <v>134.04874254813359</v>
      </c>
    </row>
    <row r="21" spans="1:22" x14ac:dyDescent="0.35">
      <c r="A21" s="10">
        <v>15</v>
      </c>
      <c r="B21" s="10" t="s">
        <v>80</v>
      </c>
      <c r="C21" s="10" t="s">
        <v>4</v>
      </c>
      <c r="D21" s="10">
        <v>2.4489999999999998</v>
      </c>
      <c r="E21" s="13">
        <f t="shared" si="1"/>
        <v>143019.67544204323</v>
      </c>
      <c r="F21" s="10" t="s">
        <v>47</v>
      </c>
      <c r="G21" s="10">
        <v>4</v>
      </c>
      <c r="H21" s="14">
        <f t="shared" si="2"/>
        <v>38000</v>
      </c>
      <c r="I21" s="10"/>
      <c r="J21" s="10"/>
      <c r="K21" s="10"/>
      <c r="L21" s="13">
        <f t="shared" si="5"/>
        <v>152000</v>
      </c>
      <c r="M21" s="13">
        <v>50000</v>
      </c>
      <c r="N21" s="13">
        <f t="shared" si="6"/>
        <v>345019.67544204323</v>
      </c>
      <c r="O21" s="13">
        <f t="shared" si="7"/>
        <v>410573.41377603146</v>
      </c>
      <c r="P21" s="13">
        <v>45000</v>
      </c>
      <c r="Q21" s="13">
        <f t="shared" si="8"/>
        <v>455573.41377603146</v>
      </c>
      <c r="R21" s="15">
        <f t="shared" si="0"/>
        <v>113.89335344400787</v>
      </c>
    </row>
    <row r="22" spans="1:22" x14ac:dyDescent="0.35">
      <c r="A22" s="10">
        <v>16</v>
      </c>
      <c r="B22" s="10" t="s">
        <v>81</v>
      </c>
      <c r="C22" s="10" t="s">
        <v>4</v>
      </c>
      <c r="D22" s="10">
        <v>5.69</v>
      </c>
      <c r="E22" s="13">
        <f t="shared" si="1"/>
        <v>332291.52848722989</v>
      </c>
      <c r="F22" s="10" t="s">
        <v>49</v>
      </c>
      <c r="G22" s="10">
        <v>2</v>
      </c>
      <c r="H22" s="14">
        <f t="shared" si="2"/>
        <v>50000</v>
      </c>
      <c r="I22" s="10"/>
      <c r="J22" s="10"/>
      <c r="K22" s="10"/>
      <c r="L22" s="13">
        <f t="shared" si="5"/>
        <v>100000</v>
      </c>
      <c r="M22" s="13">
        <v>50000</v>
      </c>
      <c r="N22" s="13">
        <f t="shared" si="6"/>
        <v>482291.52848722989</v>
      </c>
      <c r="O22" s="13">
        <f t="shared" si="7"/>
        <v>573926.91889980354</v>
      </c>
      <c r="P22" s="10">
        <v>0</v>
      </c>
      <c r="Q22" s="13">
        <f t="shared" si="8"/>
        <v>573926.91889980354</v>
      </c>
      <c r="R22" s="15">
        <f t="shared" si="0"/>
        <v>143.4817297249509</v>
      </c>
    </row>
    <row r="23" spans="1:22" x14ac:dyDescent="0.35">
      <c r="A23" s="10">
        <v>17</v>
      </c>
      <c r="B23" s="10" t="s">
        <v>82</v>
      </c>
      <c r="C23" s="10" t="s">
        <v>4</v>
      </c>
      <c r="D23" s="10">
        <v>4</v>
      </c>
      <c r="E23" s="13">
        <f t="shared" si="1"/>
        <v>233596.85658153243</v>
      </c>
      <c r="F23" s="10" t="s">
        <v>48</v>
      </c>
      <c r="G23" s="10">
        <v>2</v>
      </c>
      <c r="H23" s="14">
        <f t="shared" si="2"/>
        <v>50000</v>
      </c>
      <c r="I23" s="10"/>
      <c r="J23" s="10"/>
      <c r="K23" s="10"/>
      <c r="L23" s="13">
        <f t="shared" si="5"/>
        <v>100000</v>
      </c>
      <c r="M23" s="13">
        <v>50000</v>
      </c>
      <c r="N23" s="13">
        <f t="shared" si="6"/>
        <v>383596.8565815324</v>
      </c>
      <c r="O23" s="13">
        <f t="shared" si="7"/>
        <v>456480.25933202356</v>
      </c>
      <c r="P23" s="10">
        <v>0</v>
      </c>
      <c r="Q23" s="13">
        <f t="shared" si="8"/>
        <v>456480.25933202356</v>
      </c>
      <c r="R23" s="15">
        <f t="shared" si="0"/>
        <v>114.12006483300588</v>
      </c>
    </row>
    <row r="24" spans="1:22" x14ac:dyDescent="0.35">
      <c r="A24" s="10">
        <v>18</v>
      </c>
      <c r="B24" s="10" t="s">
        <v>83</v>
      </c>
      <c r="C24" s="10" t="s">
        <v>4</v>
      </c>
      <c r="D24" s="10">
        <v>7.444</v>
      </c>
      <c r="E24" s="13">
        <f t="shared" si="1"/>
        <v>434723.75009823183</v>
      </c>
      <c r="F24" s="10" t="s">
        <v>47</v>
      </c>
      <c r="G24" s="10">
        <v>2</v>
      </c>
      <c r="H24" s="14">
        <f t="shared" si="2"/>
        <v>38000</v>
      </c>
      <c r="I24" s="10"/>
      <c r="J24" s="10"/>
      <c r="K24" s="10"/>
      <c r="L24" s="13">
        <f t="shared" si="5"/>
        <v>76000</v>
      </c>
      <c r="M24" s="13">
        <v>50000</v>
      </c>
      <c r="N24" s="13">
        <f t="shared" si="6"/>
        <v>560723.75009823183</v>
      </c>
      <c r="O24" s="13">
        <f t="shared" si="7"/>
        <v>667261.26261689584</v>
      </c>
      <c r="P24" s="10">
        <v>0</v>
      </c>
      <c r="Q24" s="13">
        <f t="shared" si="8"/>
        <v>667261.26261689584</v>
      </c>
      <c r="R24" s="15">
        <f t="shared" si="0"/>
        <v>166.81531565422395</v>
      </c>
    </row>
    <row r="25" spans="1:22" x14ac:dyDescent="0.35">
      <c r="A25" s="10">
        <v>19</v>
      </c>
      <c r="B25" s="10" t="s">
        <v>84</v>
      </c>
      <c r="C25" s="10" t="s">
        <v>4</v>
      </c>
      <c r="D25" s="10">
        <v>7.4779999999999998</v>
      </c>
      <c r="E25" s="13">
        <f t="shared" si="1"/>
        <v>436709.32337917486</v>
      </c>
      <c r="F25" s="10" t="s">
        <v>53</v>
      </c>
      <c r="G25" s="10">
        <v>2</v>
      </c>
      <c r="H25" s="14">
        <f t="shared" si="2"/>
        <v>25000</v>
      </c>
      <c r="I25" s="10"/>
      <c r="J25" s="10"/>
      <c r="K25" s="10"/>
      <c r="L25" s="13">
        <f t="shared" si="5"/>
        <v>50000</v>
      </c>
      <c r="M25" s="13">
        <v>50000</v>
      </c>
      <c r="N25" s="13">
        <f t="shared" si="6"/>
        <v>536709.32337917481</v>
      </c>
      <c r="O25" s="13">
        <f t="shared" si="7"/>
        <v>638684.09482121805</v>
      </c>
      <c r="P25" s="10">
        <v>0</v>
      </c>
      <c r="Q25" s="13">
        <f t="shared" si="8"/>
        <v>638684.09482121805</v>
      </c>
      <c r="R25" s="15">
        <f t="shared" si="0"/>
        <v>159.67102370530452</v>
      </c>
    </row>
    <row r="26" spans="1:22" x14ac:dyDescent="0.35">
      <c r="A26" s="10">
        <v>20</v>
      </c>
      <c r="B26" s="10" t="s">
        <v>85</v>
      </c>
      <c r="C26" s="10" t="s">
        <v>4</v>
      </c>
      <c r="D26" s="10">
        <v>2.4169999999999998</v>
      </c>
      <c r="E26" s="13">
        <f t="shared" si="1"/>
        <v>141150.90058939095</v>
      </c>
      <c r="F26" s="10" t="s">
        <v>49</v>
      </c>
      <c r="G26" s="10">
        <v>4</v>
      </c>
      <c r="H26" s="14">
        <f t="shared" si="2"/>
        <v>50000</v>
      </c>
      <c r="I26" s="10"/>
      <c r="J26" s="10"/>
      <c r="K26" s="10"/>
      <c r="L26" s="13">
        <f t="shared" si="5"/>
        <v>200000</v>
      </c>
      <c r="M26" s="13">
        <v>50000</v>
      </c>
      <c r="N26" s="13">
        <f t="shared" si="6"/>
        <v>391150.90058939095</v>
      </c>
      <c r="O26" s="13">
        <f t="shared" si="7"/>
        <v>465469.57170137524</v>
      </c>
      <c r="P26" s="13">
        <v>45000</v>
      </c>
      <c r="Q26" s="13">
        <f t="shared" si="8"/>
        <v>510469.57170137524</v>
      </c>
      <c r="R26" s="15">
        <f t="shared" si="0"/>
        <v>127.61739292534381</v>
      </c>
    </row>
    <row r="27" spans="1:22" x14ac:dyDescent="0.35">
      <c r="A27" s="10">
        <v>21</v>
      </c>
      <c r="B27" s="10" t="s">
        <v>86</v>
      </c>
      <c r="C27" s="10" t="s">
        <v>4</v>
      </c>
      <c r="D27" s="10"/>
      <c r="E27" s="13">
        <f t="shared" ref="E27:E90" si="9">D27*$S$2</f>
        <v>0</v>
      </c>
      <c r="F27" s="10"/>
      <c r="G27" s="10"/>
      <c r="H27" s="14" t="e">
        <f t="shared" si="2"/>
        <v>#N/A</v>
      </c>
      <c r="I27" s="10"/>
      <c r="J27" s="10"/>
      <c r="K27" s="10"/>
      <c r="L27" s="13" t="e">
        <f t="shared" si="5"/>
        <v>#N/A</v>
      </c>
      <c r="M27" s="13">
        <v>50000</v>
      </c>
      <c r="N27" s="13" t="e">
        <f t="shared" si="6"/>
        <v>#N/A</v>
      </c>
      <c r="O27" s="13" t="e">
        <f t="shared" si="7"/>
        <v>#N/A</v>
      </c>
      <c r="P27" s="10">
        <v>0</v>
      </c>
      <c r="Q27" s="13">
        <v>2500000</v>
      </c>
      <c r="R27" s="15">
        <f>Q27/$S$1</f>
        <v>625</v>
      </c>
    </row>
    <row r="28" spans="1:22" x14ac:dyDescent="0.35">
      <c r="A28" s="10">
        <v>22</v>
      </c>
      <c r="B28" s="10" t="s">
        <v>87</v>
      </c>
      <c r="C28" s="10" t="s">
        <v>4</v>
      </c>
      <c r="D28" s="10">
        <v>3.956</v>
      </c>
      <c r="E28" s="13">
        <f t="shared" si="9"/>
        <v>231027.29115913558</v>
      </c>
      <c r="F28" s="10" t="s">
        <v>48</v>
      </c>
      <c r="G28" s="10">
        <v>2</v>
      </c>
      <c r="H28" s="14">
        <f t="shared" si="2"/>
        <v>50000</v>
      </c>
      <c r="I28" s="10"/>
      <c r="J28" s="10"/>
      <c r="K28" s="10"/>
      <c r="L28" s="13">
        <f t="shared" si="5"/>
        <v>100000</v>
      </c>
      <c r="M28" s="13">
        <v>50000</v>
      </c>
      <c r="N28" s="13">
        <f t="shared" si="6"/>
        <v>381027.29115913558</v>
      </c>
      <c r="O28" s="13">
        <f t="shared" si="7"/>
        <v>453422.47647937131</v>
      </c>
      <c r="P28" s="10">
        <v>0</v>
      </c>
      <c r="Q28" s="13">
        <f t="shared" si="8"/>
        <v>453422.47647937131</v>
      </c>
      <c r="R28" s="15">
        <f t="shared" si="0"/>
        <v>113.35561911984283</v>
      </c>
    </row>
    <row r="29" spans="1:22" x14ac:dyDescent="0.35">
      <c r="A29" s="10">
        <v>23</v>
      </c>
      <c r="B29" s="10" t="s">
        <v>88</v>
      </c>
      <c r="C29" s="10" t="s">
        <v>4</v>
      </c>
      <c r="D29" s="10">
        <v>4</v>
      </c>
      <c r="E29" s="13">
        <f t="shared" si="9"/>
        <v>233596.85658153243</v>
      </c>
      <c r="F29" s="10" t="s">
        <v>49</v>
      </c>
      <c r="G29" s="10">
        <v>2</v>
      </c>
      <c r="H29" s="14">
        <f t="shared" si="2"/>
        <v>50000</v>
      </c>
      <c r="I29" s="10"/>
      <c r="J29" s="10"/>
      <c r="K29" s="10"/>
      <c r="L29" s="13">
        <f t="shared" si="5"/>
        <v>100000</v>
      </c>
      <c r="M29" s="13">
        <v>50000</v>
      </c>
      <c r="N29" s="13">
        <f t="shared" si="6"/>
        <v>383596.8565815324</v>
      </c>
      <c r="O29" s="13">
        <f t="shared" si="7"/>
        <v>456480.25933202356</v>
      </c>
      <c r="P29" s="10">
        <v>0</v>
      </c>
      <c r="Q29" s="13">
        <f t="shared" si="8"/>
        <v>456480.25933202356</v>
      </c>
      <c r="R29" s="15">
        <f t="shared" si="0"/>
        <v>114.12006483300588</v>
      </c>
    </row>
    <row r="30" spans="1:22" x14ac:dyDescent="0.35">
      <c r="A30" s="10">
        <v>24</v>
      </c>
      <c r="B30" s="10" t="s">
        <v>89</v>
      </c>
      <c r="C30" s="10" t="s">
        <v>4</v>
      </c>
      <c r="D30" s="10">
        <v>3.22</v>
      </c>
      <c r="E30" s="13">
        <f t="shared" si="9"/>
        <v>188045.46954813361</v>
      </c>
      <c r="F30" s="10" t="s">
        <v>49</v>
      </c>
      <c r="G30" s="10">
        <v>2</v>
      </c>
      <c r="H30" s="14">
        <f t="shared" si="2"/>
        <v>50000</v>
      </c>
      <c r="I30" s="10"/>
      <c r="J30" s="10"/>
      <c r="K30" s="10"/>
      <c r="L30" s="13">
        <f t="shared" si="5"/>
        <v>100000</v>
      </c>
      <c r="M30" s="13">
        <v>50000</v>
      </c>
      <c r="N30" s="13">
        <f t="shared" si="6"/>
        <v>338045.46954813361</v>
      </c>
      <c r="O30" s="13">
        <f t="shared" si="7"/>
        <v>402274.10876227898</v>
      </c>
      <c r="P30" s="10">
        <v>0</v>
      </c>
      <c r="Q30" s="13">
        <f t="shared" si="8"/>
        <v>402274.10876227898</v>
      </c>
      <c r="R30" s="15">
        <f t="shared" si="0"/>
        <v>100.56852719056974</v>
      </c>
    </row>
    <row r="31" spans="1:22" x14ac:dyDescent="0.35">
      <c r="A31" s="10">
        <v>25</v>
      </c>
      <c r="B31" s="10" t="s">
        <v>90</v>
      </c>
      <c r="C31" s="10" t="s">
        <v>4</v>
      </c>
      <c r="D31" s="10">
        <v>4.327</v>
      </c>
      <c r="E31" s="13">
        <f t="shared" si="9"/>
        <v>252693.3996070727</v>
      </c>
      <c r="F31" s="10" t="s">
        <v>49</v>
      </c>
      <c r="G31" s="10">
        <v>2</v>
      </c>
      <c r="H31" s="14">
        <f t="shared" si="2"/>
        <v>50000</v>
      </c>
      <c r="I31" s="10"/>
      <c r="J31" s="10"/>
      <c r="K31" s="10"/>
      <c r="L31" s="13">
        <f t="shared" si="5"/>
        <v>100000</v>
      </c>
      <c r="M31" s="13">
        <v>50000</v>
      </c>
      <c r="N31" s="13">
        <f t="shared" si="6"/>
        <v>402693.3996070727</v>
      </c>
      <c r="O31" s="13">
        <f t="shared" si="7"/>
        <v>479205.14553241653</v>
      </c>
      <c r="P31" s="10">
        <v>0</v>
      </c>
      <c r="Q31" s="13">
        <f>O31+P31</f>
        <v>479205.14553241653</v>
      </c>
      <c r="R31" s="15">
        <f t="shared" si="0"/>
        <v>119.80128638310413</v>
      </c>
    </row>
    <row r="32" spans="1:22" x14ac:dyDescent="0.35">
      <c r="A32" s="10">
        <v>26</v>
      </c>
      <c r="B32" s="10" t="s">
        <v>91</v>
      </c>
      <c r="C32" s="10" t="s">
        <v>4</v>
      </c>
      <c r="D32" s="10">
        <v>2.4169999999999998</v>
      </c>
      <c r="E32" s="13">
        <f t="shared" si="9"/>
        <v>141150.90058939095</v>
      </c>
      <c r="F32" s="10" t="s">
        <v>46</v>
      </c>
      <c r="G32" s="10">
        <v>4</v>
      </c>
      <c r="H32" s="14">
        <f t="shared" si="2"/>
        <v>75000</v>
      </c>
      <c r="I32" s="10"/>
      <c r="J32" s="10"/>
      <c r="K32" s="10"/>
      <c r="L32" s="13">
        <f t="shared" si="5"/>
        <v>300000</v>
      </c>
      <c r="M32" s="13">
        <v>50000</v>
      </c>
      <c r="N32" s="13">
        <f t="shared" si="6"/>
        <v>491150.90058939095</v>
      </c>
      <c r="O32" s="13">
        <f t="shared" si="7"/>
        <v>584469.57170137519</v>
      </c>
      <c r="P32" s="13">
        <v>45000</v>
      </c>
      <c r="Q32" s="13">
        <f t="shared" si="8"/>
        <v>629469.57170137519</v>
      </c>
      <c r="R32" s="15">
        <f t="shared" si="0"/>
        <v>157.36739292534381</v>
      </c>
    </row>
    <row r="33" spans="1:18" x14ac:dyDescent="0.35">
      <c r="A33" s="10">
        <v>27</v>
      </c>
      <c r="B33" s="10" t="s">
        <v>92</v>
      </c>
      <c r="C33" s="10" t="s">
        <v>4</v>
      </c>
      <c r="D33" s="10">
        <v>5.2290000000000001</v>
      </c>
      <c r="E33" s="13">
        <f t="shared" si="9"/>
        <v>305369.49076620827</v>
      </c>
      <c r="F33" s="10" t="s">
        <v>58</v>
      </c>
      <c r="G33" s="10">
        <v>4</v>
      </c>
      <c r="H33" s="14">
        <f t="shared" si="2"/>
        <v>2000</v>
      </c>
      <c r="I33" s="10" t="s">
        <v>60</v>
      </c>
      <c r="J33" s="10">
        <v>8</v>
      </c>
      <c r="K33" s="10">
        <f>VLOOKUP(I33,$U$2:$V$17,2,FALSE)</f>
        <v>2500</v>
      </c>
      <c r="L33" s="13">
        <f>(G33*H33)+(J33*K33)</f>
        <v>28000</v>
      </c>
      <c r="M33" s="13">
        <v>50000</v>
      </c>
      <c r="N33" s="13">
        <f t="shared" si="6"/>
        <v>383369.49076620827</v>
      </c>
      <c r="O33" s="13">
        <f t="shared" si="7"/>
        <v>456209.69401178783</v>
      </c>
      <c r="P33" s="10">
        <v>0</v>
      </c>
      <c r="Q33" s="13">
        <f t="shared" si="8"/>
        <v>456209.69401178783</v>
      </c>
      <c r="R33" s="15">
        <f t="shared" si="0"/>
        <v>114.05242350294695</v>
      </c>
    </row>
    <row r="34" spans="1:18" x14ac:dyDescent="0.35">
      <c r="A34" s="10">
        <v>28</v>
      </c>
      <c r="B34" s="10" t="s">
        <v>93</v>
      </c>
      <c r="C34" s="10" t="s">
        <v>4</v>
      </c>
      <c r="D34" s="10">
        <v>11.397</v>
      </c>
      <c r="E34" s="13">
        <f t="shared" si="9"/>
        <v>665575.84361493133</v>
      </c>
      <c r="F34" s="10" t="s">
        <v>58</v>
      </c>
      <c r="G34" s="10">
        <v>6</v>
      </c>
      <c r="H34" s="14">
        <f t="shared" si="2"/>
        <v>2000</v>
      </c>
      <c r="I34" s="10"/>
      <c r="J34" s="10"/>
      <c r="K34" s="10"/>
      <c r="L34" s="13">
        <f t="shared" si="5"/>
        <v>12000</v>
      </c>
      <c r="M34" s="13">
        <v>50000</v>
      </c>
      <c r="N34" s="13">
        <f t="shared" si="6"/>
        <v>727575.84361493133</v>
      </c>
      <c r="O34" s="13">
        <f t="shared" si="7"/>
        <v>865815.25390176824</v>
      </c>
      <c r="P34" s="10">
        <v>0</v>
      </c>
      <c r="Q34" s="13">
        <f t="shared" si="8"/>
        <v>865815.25390176824</v>
      </c>
      <c r="R34" s="15">
        <f t="shared" si="0"/>
        <v>216.45381347544205</v>
      </c>
    </row>
    <row r="35" spans="1:18" x14ac:dyDescent="0.35">
      <c r="A35" s="10">
        <v>29</v>
      </c>
      <c r="B35" s="10" t="s">
        <v>94</v>
      </c>
      <c r="C35" s="10" t="s">
        <v>4</v>
      </c>
      <c r="D35" s="10">
        <v>5.3159999999999998</v>
      </c>
      <c r="E35" s="13">
        <f t="shared" si="9"/>
        <v>310450.22239685658</v>
      </c>
      <c r="F35" s="10" t="s">
        <v>58</v>
      </c>
      <c r="G35" s="10">
        <v>2</v>
      </c>
      <c r="H35" s="14">
        <f t="shared" si="2"/>
        <v>2000</v>
      </c>
      <c r="I35" s="10"/>
      <c r="J35" s="10"/>
      <c r="K35" s="10"/>
      <c r="L35" s="13">
        <f t="shared" si="5"/>
        <v>4000</v>
      </c>
      <c r="M35" s="13">
        <v>50000</v>
      </c>
      <c r="N35" s="13">
        <f t="shared" si="6"/>
        <v>364450.22239685658</v>
      </c>
      <c r="O35" s="13">
        <f t="shared" si="7"/>
        <v>433695.7646522593</v>
      </c>
      <c r="P35" s="10">
        <v>0</v>
      </c>
      <c r="Q35" s="13">
        <f t="shared" si="8"/>
        <v>433695.7646522593</v>
      </c>
      <c r="R35" s="15">
        <f t="shared" si="0"/>
        <v>108.42394116306482</v>
      </c>
    </row>
    <row r="36" spans="1:18" x14ac:dyDescent="0.35">
      <c r="A36" s="10">
        <v>30</v>
      </c>
      <c r="B36" s="10" t="s">
        <v>95</v>
      </c>
      <c r="C36" s="10" t="s">
        <v>4</v>
      </c>
      <c r="D36" s="10">
        <v>3.15</v>
      </c>
      <c r="E36" s="13">
        <f t="shared" si="9"/>
        <v>183957.52455795679</v>
      </c>
      <c r="F36" s="10" t="s">
        <v>47</v>
      </c>
      <c r="G36" s="10">
        <v>2</v>
      </c>
      <c r="H36" s="14">
        <f t="shared" si="2"/>
        <v>38000</v>
      </c>
      <c r="I36" s="10"/>
      <c r="J36" s="10"/>
      <c r="K36" s="10"/>
      <c r="L36" s="13">
        <f t="shared" si="5"/>
        <v>76000</v>
      </c>
      <c r="M36" s="13">
        <v>50000</v>
      </c>
      <c r="N36" s="13">
        <f t="shared" si="6"/>
        <v>309957.52455795679</v>
      </c>
      <c r="O36" s="13">
        <f t="shared" si="7"/>
        <v>368849.45422396855</v>
      </c>
      <c r="P36" s="13">
        <v>45000</v>
      </c>
      <c r="Q36" s="13">
        <f t="shared" si="8"/>
        <v>413849.45422396855</v>
      </c>
      <c r="R36" s="15">
        <f t="shared" si="0"/>
        <v>103.46236355599214</v>
      </c>
    </row>
    <row r="37" spans="1:18" x14ac:dyDescent="0.35">
      <c r="A37" s="10">
        <v>31</v>
      </c>
      <c r="B37" s="10" t="s">
        <v>96</v>
      </c>
      <c r="C37" s="10" t="s">
        <v>4</v>
      </c>
      <c r="D37" s="10">
        <v>5.5919999999999996</v>
      </c>
      <c r="E37" s="13">
        <f t="shared" si="9"/>
        <v>326568.40550098231</v>
      </c>
      <c r="F37" s="10" t="s">
        <v>47</v>
      </c>
      <c r="G37" s="10">
        <v>2</v>
      </c>
      <c r="H37" s="14">
        <f t="shared" si="2"/>
        <v>38000</v>
      </c>
      <c r="I37" s="10"/>
      <c r="J37" s="10"/>
      <c r="K37" s="10"/>
      <c r="L37" s="13">
        <f t="shared" si="5"/>
        <v>76000</v>
      </c>
      <c r="M37" s="13">
        <v>50000</v>
      </c>
      <c r="N37" s="13">
        <f t="shared" si="6"/>
        <v>452568.40550098231</v>
      </c>
      <c r="O37" s="13">
        <f t="shared" si="7"/>
        <v>538556.402546169</v>
      </c>
      <c r="P37" s="10">
        <v>0</v>
      </c>
      <c r="Q37" s="13">
        <f t="shared" si="8"/>
        <v>538556.402546169</v>
      </c>
      <c r="R37" s="15">
        <f t="shared" si="0"/>
        <v>134.63910063654225</v>
      </c>
    </row>
    <row r="38" spans="1:18" x14ac:dyDescent="0.35">
      <c r="A38" s="10">
        <v>32</v>
      </c>
      <c r="B38" s="10" t="s">
        <v>97</v>
      </c>
      <c r="C38" s="10" t="s">
        <v>4</v>
      </c>
      <c r="D38" s="10">
        <v>7.399</v>
      </c>
      <c r="E38" s="13">
        <f t="shared" si="9"/>
        <v>432095.78546168958</v>
      </c>
      <c r="F38" s="10" t="s">
        <v>49</v>
      </c>
      <c r="G38" s="10">
        <v>2</v>
      </c>
      <c r="H38" s="14">
        <f t="shared" si="2"/>
        <v>50000</v>
      </c>
      <c r="I38" s="10"/>
      <c r="J38" s="10"/>
      <c r="K38" s="10"/>
      <c r="L38" s="13">
        <f t="shared" si="5"/>
        <v>100000</v>
      </c>
      <c r="M38" s="13">
        <v>50000</v>
      </c>
      <c r="N38" s="13">
        <f t="shared" si="6"/>
        <v>582095.78546168958</v>
      </c>
      <c r="O38" s="13">
        <f t="shared" si="7"/>
        <v>692693.98469941062</v>
      </c>
      <c r="P38" s="10">
        <v>0</v>
      </c>
      <c r="Q38" s="13">
        <f t="shared" si="8"/>
        <v>692693.98469941062</v>
      </c>
      <c r="R38" s="15">
        <f t="shared" si="0"/>
        <v>173.17349617485266</v>
      </c>
    </row>
    <row r="39" spans="1:18" x14ac:dyDescent="0.35">
      <c r="A39" s="10">
        <v>33</v>
      </c>
      <c r="B39" s="10" t="s">
        <v>98</v>
      </c>
      <c r="C39" s="10" t="s">
        <v>4</v>
      </c>
      <c r="D39" s="10"/>
      <c r="E39" s="13">
        <f t="shared" si="9"/>
        <v>0</v>
      </c>
      <c r="F39" s="10"/>
      <c r="G39" s="10"/>
      <c r="H39" s="14" t="e">
        <f t="shared" si="2"/>
        <v>#N/A</v>
      </c>
      <c r="I39" s="10"/>
      <c r="J39" s="10"/>
      <c r="K39" s="10"/>
      <c r="L39" s="13" t="e">
        <f t="shared" si="5"/>
        <v>#N/A</v>
      </c>
      <c r="M39" s="13">
        <v>50000</v>
      </c>
      <c r="N39" s="13" t="e">
        <f t="shared" si="6"/>
        <v>#N/A</v>
      </c>
      <c r="O39" s="13" t="e">
        <f t="shared" si="7"/>
        <v>#N/A</v>
      </c>
      <c r="P39" s="10">
        <v>0</v>
      </c>
      <c r="Q39" s="13">
        <f>Q40+Q41</f>
        <v>627924.58427504904</v>
      </c>
      <c r="R39" s="15">
        <f t="shared" si="0"/>
        <v>156.98114606876226</v>
      </c>
    </row>
    <row r="40" spans="1:18" x14ac:dyDescent="0.35">
      <c r="A40" s="10">
        <v>33.1</v>
      </c>
      <c r="B40" s="10" t="s">
        <v>67</v>
      </c>
      <c r="C40" s="10" t="s">
        <v>4</v>
      </c>
      <c r="D40" s="10">
        <v>4.2439999999999998</v>
      </c>
      <c r="E40" s="13">
        <f t="shared" si="9"/>
        <v>247846.2648330059</v>
      </c>
      <c r="F40" s="10" t="s">
        <v>49</v>
      </c>
      <c r="G40" s="10">
        <v>2</v>
      </c>
      <c r="H40" s="14">
        <f t="shared" si="2"/>
        <v>50000</v>
      </c>
      <c r="I40" s="10"/>
      <c r="J40" s="10"/>
      <c r="K40" s="10"/>
      <c r="L40" s="13">
        <f t="shared" si="5"/>
        <v>100000</v>
      </c>
      <c r="M40" s="13">
        <v>50000</v>
      </c>
      <c r="N40" s="13">
        <f t="shared" si="6"/>
        <v>397846.2648330059</v>
      </c>
      <c r="O40" s="13">
        <f t="shared" si="7"/>
        <v>473437.05515127699</v>
      </c>
      <c r="P40" s="10">
        <v>0</v>
      </c>
      <c r="Q40" s="13">
        <f t="shared" si="8"/>
        <v>473437.05515127699</v>
      </c>
      <c r="R40" s="15">
        <f t="shared" si="0"/>
        <v>118.35926378781924</v>
      </c>
    </row>
    <row r="41" spans="1:18" x14ac:dyDescent="0.35">
      <c r="A41" s="10">
        <v>33.200000000000003</v>
      </c>
      <c r="B41" s="10" t="s">
        <v>68</v>
      </c>
      <c r="C41" s="10" t="s">
        <v>4</v>
      </c>
      <c r="D41" s="10">
        <v>2.2229999999999999</v>
      </c>
      <c r="E41" s="13">
        <f t="shared" si="9"/>
        <v>129821.45304518663</v>
      </c>
      <c r="F41" s="10" t="s">
        <v>65</v>
      </c>
      <c r="G41" s="10"/>
      <c r="H41" s="14"/>
      <c r="I41" s="10" t="s">
        <v>65</v>
      </c>
      <c r="J41" s="10"/>
      <c r="K41" s="10"/>
      <c r="L41" s="13"/>
      <c r="M41" s="13">
        <v>0</v>
      </c>
      <c r="N41" s="13">
        <f t="shared" si="6"/>
        <v>129821.45304518663</v>
      </c>
      <c r="O41" s="13">
        <f t="shared" si="7"/>
        <v>154487.52912377208</v>
      </c>
      <c r="P41" s="10">
        <v>0</v>
      </c>
      <c r="Q41" s="13">
        <f t="shared" si="8"/>
        <v>154487.52912377208</v>
      </c>
      <c r="R41" s="15">
        <f t="shared" si="0"/>
        <v>38.621882280943019</v>
      </c>
    </row>
    <row r="42" spans="1:18" x14ac:dyDescent="0.35">
      <c r="A42" s="10">
        <v>34</v>
      </c>
      <c r="B42" s="10" t="s">
        <v>99</v>
      </c>
      <c r="C42" s="10" t="s">
        <v>4</v>
      </c>
      <c r="D42" s="10"/>
      <c r="E42" s="13">
        <f t="shared" si="9"/>
        <v>0</v>
      </c>
      <c r="F42" s="10"/>
      <c r="G42" s="10"/>
      <c r="H42" s="14" t="e">
        <f t="shared" si="2"/>
        <v>#N/A</v>
      </c>
      <c r="I42" s="10"/>
      <c r="J42" s="10"/>
      <c r="K42" s="10"/>
      <c r="L42" s="13" t="e">
        <f t="shared" si="5"/>
        <v>#N/A</v>
      </c>
      <c r="M42" s="13">
        <v>50000</v>
      </c>
      <c r="N42" s="13" t="e">
        <f t="shared" si="6"/>
        <v>#N/A</v>
      </c>
      <c r="O42" s="13" t="e">
        <f t="shared" si="7"/>
        <v>#N/A</v>
      </c>
      <c r="P42" s="10">
        <v>0</v>
      </c>
      <c r="Q42" s="13">
        <f>Q43+Q44</f>
        <v>617336.0615324165</v>
      </c>
      <c r="R42" s="15">
        <f t="shared" si="0"/>
        <v>154.33401538310412</v>
      </c>
    </row>
    <row r="43" spans="1:18" x14ac:dyDescent="0.35">
      <c r="A43" s="10">
        <v>34.1</v>
      </c>
      <c r="B43" s="10" t="s">
        <v>67</v>
      </c>
      <c r="C43" s="10" t="s">
        <v>4</v>
      </c>
      <c r="D43" s="10">
        <v>5.59</v>
      </c>
      <c r="E43" s="13">
        <f t="shared" si="9"/>
        <v>326451.60707269155</v>
      </c>
      <c r="F43" s="10" t="s">
        <v>58</v>
      </c>
      <c r="G43" s="10">
        <v>4</v>
      </c>
      <c r="H43" s="14">
        <f t="shared" si="2"/>
        <v>2000</v>
      </c>
      <c r="I43" s="10"/>
      <c r="J43" s="10"/>
      <c r="K43" s="10"/>
      <c r="L43" s="13">
        <f t="shared" si="5"/>
        <v>8000</v>
      </c>
      <c r="M43" s="13">
        <v>50000</v>
      </c>
      <c r="N43" s="13">
        <f t="shared" si="6"/>
        <v>384451.60707269155</v>
      </c>
      <c r="O43" s="13">
        <f t="shared" si="7"/>
        <v>457497.41241650295</v>
      </c>
      <c r="P43" s="10">
        <v>0</v>
      </c>
      <c r="Q43" s="13">
        <f t="shared" si="8"/>
        <v>457497.41241650295</v>
      </c>
      <c r="R43" s="15">
        <f t="shared" si="0"/>
        <v>114.37435310412573</v>
      </c>
    </row>
    <row r="44" spans="1:18" x14ac:dyDescent="0.35">
      <c r="A44" s="10">
        <v>34.200000000000003</v>
      </c>
      <c r="B44" s="10" t="s">
        <v>68</v>
      </c>
      <c r="C44" s="10" t="s">
        <v>4</v>
      </c>
      <c r="D44" s="10">
        <v>2.2999999999999998</v>
      </c>
      <c r="E44" s="13">
        <f t="shared" si="9"/>
        <v>134318.19253438115</v>
      </c>
      <c r="F44" s="10" t="s">
        <v>65</v>
      </c>
      <c r="G44" s="10"/>
      <c r="H44" s="14"/>
      <c r="I44" s="10"/>
      <c r="J44" s="10"/>
      <c r="K44" s="10"/>
      <c r="L44" s="13">
        <f t="shared" si="5"/>
        <v>0</v>
      </c>
      <c r="M44" s="13">
        <v>0</v>
      </c>
      <c r="N44" s="13">
        <f t="shared" si="6"/>
        <v>134318.19253438115</v>
      </c>
      <c r="O44" s="13">
        <f t="shared" si="7"/>
        <v>159838.64911591355</v>
      </c>
      <c r="P44" s="10">
        <v>0</v>
      </c>
      <c r="Q44" s="13">
        <f t="shared" si="8"/>
        <v>159838.64911591355</v>
      </c>
      <c r="R44" s="15">
        <f t="shared" si="0"/>
        <v>39.959662278978385</v>
      </c>
    </row>
    <row r="45" spans="1:18" x14ac:dyDescent="0.35">
      <c r="A45" s="10">
        <v>35</v>
      </c>
      <c r="B45" s="10" t="s">
        <v>100</v>
      </c>
      <c r="C45" s="10" t="s">
        <v>4</v>
      </c>
      <c r="D45" s="10">
        <v>2.556</v>
      </c>
      <c r="E45" s="13">
        <f t="shared" si="9"/>
        <v>149268.39135559922</v>
      </c>
      <c r="F45" s="10" t="s">
        <v>58</v>
      </c>
      <c r="G45" s="10">
        <v>6</v>
      </c>
      <c r="H45" s="14">
        <f t="shared" si="2"/>
        <v>2000</v>
      </c>
      <c r="I45" s="10"/>
      <c r="J45" s="10"/>
      <c r="K45" s="10"/>
      <c r="L45" s="13">
        <f t="shared" si="5"/>
        <v>12000</v>
      </c>
      <c r="M45" s="13">
        <v>50000</v>
      </c>
      <c r="N45" s="13">
        <f t="shared" si="6"/>
        <v>211268.39135559922</v>
      </c>
      <c r="O45" s="13">
        <f t="shared" si="7"/>
        <v>251409.38571316306</v>
      </c>
      <c r="P45" s="10">
        <v>0</v>
      </c>
      <c r="Q45" s="13">
        <f t="shared" si="8"/>
        <v>251409.38571316306</v>
      </c>
      <c r="R45" s="15">
        <f t="shared" si="0"/>
        <v>62.852346428290765</v>
      </c>
    </row>
    <row r="46" spans="1:18" x14ac:dyDescent="0.35">
      <c r="A46" s="10">
        <v>36</v>
      </c>
      <c r="B46" s="10" t="s">
        <v>101</v>
      </c>
      <c r="C46" s="10" t="s">
        <v>4</v>
      </c>
      <c r="D46" s="10">
        <v>3.2440000000000002</v>
      </c>
      <c r="E46" s="13">
        <f t="shared" si="9"/>
        <v>189447.0506876228</v>
      </c>
      <c r="F46" s="10" t="s">
        <v>48</v>
      </c>
      <c r="G46" s="10">
        <v>2</v>
      </c>
      <c r="H46" s="14">
        <f t="shared" si="2"/>
        <v>50000</v>
      </c>
      <c r="I46" s="10"/>
      <c r="J46" s="10"/>
      <c r="K46" s="10"/>
      <c r="L46" s="13">
        <f t="shared" si="5"/>
        <v>100000</v>
      </c>
      <c r="M46" s="13">
        <v>50000</v>
      </c>
      <c r="N46" s="13">
        <f t="shared" si="6"/>
        <v>339447.0506876228</v>
      </c>
      <c r="O46" s="13">
        <f t="shared" si="7"/>
        <v>403941.99031827116</v>
      </c>
      <c r="P46" s="10">
        <v>0</v>
      </c>
      <c r="Q46" s="13">
        <f t="shared" si="8"/>
        <v>403941.99031827116</v>
      </c>
      <c r="R46" s="15">
        <f t="shared" si="0"/>
        <v>100.98549757956779</v>
      </c>
    </row>
    <row r="47" spans="1:18" x14ac:dyDescent="0.35">
      <c r="A47" s="10">
        <v>37</v>
      </c>
      <c r="B47" s="10" t="s">
        <v>102</v>
      </c>
      <c r="C47" s="10" t="s">
        <v>4</v>
      </c>
      <c r="D47" s="10">
        <v>3.1749999999999998</v>
      </c>
      <c r="E47" s="13">
        <f t="shared" si="9"/>
        <v>185417.50491159136</v>
      </c>
      <c r="F47" s="10" t="s">
        <v>59</v>
      </c>
      <c r="G47" s="10">
        <v>9</v>
      </c>
      <c r="H47" s="14">
        <f t="shared" si="2"/>
        <v>300</v>
      </c>
      <c r="I47" s="10"/>
      <c r="J47" s="10"/>
      <c r="K47" s="10"/>
      <c r="L47" s="13">
        <f t="shared" si="5"/>
        <v>2700</v>
      </c>
      <c r="M47" s="13">
        <v>70000</v>
      </c>
      <c r="N47" s="13">
        <f t="shared" si="6"/>
        <v>258117.50491159136</v>
      </c>
      <c r="O47" s="13">
        <f t="shared" si="7"/>
        <v>307159.8308447937</v>
      </c>
      <c r="P47" s="13">
        <v>45000</v>
      </c>
      <c r="Q47" s="13">
        <f t="shared" si="8"/>
        <v>352159.8308447937</v>
      </c>
      <c r="R47" s="15">
        <f t="shared" si="0"/>
        <v>88.039957711198426</v>
      </c>
    </row>
    <row r="48" spans="1:18" x14ac:dyDescent="0.35">
      <c r="A48" s="10">
        <v>38</v>
      </c>
      <c r="B48" s="10" t="s">
        <v>102</v>
      </c>
      <c r="C48" s="10" t="s">
        <v>4</v>
      </c>
      <c r="D48" s="10">
        <v>3.1749999999999998</v>
      </c>
      <c r="E48" s="13">
        <f t="shared" si="9"/>
        <v>185417.50491159136</v>
      </c>
      <c r="F48" s="10" t="s">
        <v>59</v>
      </c>
      <c r="G48" s="10">
        <v>9</v>
      </c>
      <c r="H48" s="14">
        <f t="shared" si="2"/>
        <v>300</v>
      </c>
      <c r="I48" s="10"/>
      <c r="J48" s="10"/>
      <c r="K48" s="10"/>
      <c r="L48" s="13">
        <f t="shared" si="5"/>
        <v>2700</v>
      </c>
      <c r="M48" s="13">
        <v>70000</v>
      </c>
      <c r="N48" s="13">
        <f t="shared" si="6"/>
        <v>258117.50491159136</v>
      </c>
      <c r="O48" s="13">
        <f t="shared" si="7"/>
        <v>307159.8308447937</v>
      </c>
      <c r="P48" s="13">
        <v>45000</v>
      </c>
      <c r="Q48" s="13">
        <f t="shared" si="8"/>
        <v>352159.8308447937</v>
      </c>
      <c r="R48" s="15">
        <f t="shared" si="0"/>
        <v>88.039957711198426</v>
      </c>
    </row>
    <row r="49" spans="1:18" x14ac:dyDescent="0.35">
      <c r="A49" s="10">
        <v>39</v>
      </c>
      <c r="B49" s="10" t="s">
        <v>93</v>
      </c>
      <c r="C49" s="10" t="s">
        <v>4</v>
      </c>
      <c r="D49" s="10">
        <v>10.898</v>
      </c>
      <c r="E49" s="13">
        <f t="shared" si="9"/>
        <v>636434.63575638505</v>
      </c>
      <c r="F49" s="10" t="s">
        <v>58</v>
      </c>
      <c r="G49" s="10">
        <v>6</v>
      </c>
      <c r="H49" s="14">
        <f t="shared" si="2"/>
        <v>2000</v>
      </c>
      <c r="I49" s="10"/>
      <c r="J49" s="10"/>
      <c r="K49" s="10"/>
      <c r="L49" s="13">
        <f t="shared" si="5"/>
        <v>12000</v>
      </c>
      <c r="M49" s="13">
        <v>50000</v>
      </c>
      <c r="N49" s="13">
        <f t="shared" si="6"/>
        <v>698434.63575638505</v>
      </c>
      <c r="O49" s="13">
        <f t="shared" si="7"/>
        <v>831137.21655009827</v>
      </c>
      <c r="P49" s="10">
        <v>0</v>
      </c>
      <c r="Q49" s="13">
        <f t="shared" ref="Q49:Q83" si="10">O49+P49</f>
        <v>831137.21655009827</v>
      </c>
      <c r="R49" s="15">
        <f t="shared" si="0"/>
        <v>207.78430413752457</v>
      </c>
    </row>
    <row r="50" spans="1:18" x14ac:dyDescent="0.35">
      <c r="A50" s="10">
        <v>40</v>
      </c>
      <c r="B50" s="10" t="s">
        <v>93</v>
      </c>
      <c r="C50" s="10" t="s">
        <v>4</v>
      </c>
      <c r="D50" s="10">
        <v>11.294</v>
      </c>
      <c r="E50" s="13">
        <f t="shared" si="9"/>
        <v>659560.7245579568</v>
      </c>
      <c r="F50" s="10" t="s">
        <v>58</v>
      </c>
      <c r="G50" s="10">
        <v>6</v>
      </c>
      <c r="H50" s="14">
        <f t="shared" si="2"/>
        <v>2000</v>
      </c>
      <c r="I50" s="10"/>
      <c r="J50" s="10"/>
      <c r="K50" s="10"/>
      <c r="L50" s="13">
        <f t="shared" si="5"/>
        <v>12000</v>
      </c>
      <c r="M50" s="13">
        <v>50000</v>
      </c>
      <c r="N50" s="13">
        <f t="shared" si="6"/>
        <v>721560.7245579568</v>
      </c>
      <c r="O50" s="13">
        <f t="shared" si="7"/>
        <v>858657.26222396863</v>
      </c>
      <c r="P50" s="10">
        <v>0</v>
      </c>
      <c r="Q50" s="13">
        <f t="shared" si="10"/>
        <v>858657.26222396863</v>
      </c>
      <c r="R50" s="15">
        <f t="shared" si="0"/>
        <v>214.66431555599215</v>
      </c>
    </row>
    <row r="51" spans="1:18" x14ac:dyDescent="0.35">
      <c r="A51" s="10">
        <v>41</v>
      </c>
      <c r="B51" s="10" t="s">
        <v>93</v>
      </c>
      <c r="C51" s="10" t="s">
        <v>4</v>
      </c>
      <c r="D51" s="10">
        <v>10.920999999999999</v>
      </c>
      <c r="E51" s="13">
        <f t="shared" si="9"/>
        <v>637777.81768172886</v>
      </c>
      <c r="F51" s="10" t="s">
        <v>58</v>
      </c>
      <c r="G51" s="10">
        <v>6</v>
      </c>
      <c r="H51" s="14">
        <f t="shared" si="2"/>
        <v>2000</v>
      </c>
      <c r="I51" s="10"/>
      <c r="J51" s="10"/>
      <c r="K51" s="10"/>
      <c r="L51" s="13">
        <f t="shared" si="5"/>
        <v>12000</v>
      </c>
      <c r="M51" s="13">
        <v>50000</v>
      </c>
      <c r="N51" s="13">
        <f t="shared" si="6"/>
        <v>699777.81768172886</v>
      </c>
      <c r="O51" s="13">
        <f t="shared" si="7"/>
        <v>832735.60304125736</v>
      </c>
      <c r="P51" s="10">
        <v>0</v>
      </c>
      <c r="Q51" s="13">
        <f t="shared" si="10"/>
        <v>832735.60304125736</v>
      </c>
      <c r="R51" s="15">
        <f t="shared" si="0"/>
        <v>208.18390076031434</v>
      </c>
    </row>
    <row r="52" spans="1:18" x14ac:dyDescent="0.35">
      <c r="A52" s="10">
        <v>42</v>
      </c>
      <c r="B52" s="10" t="s">
        <v>103</v>
      </c>
      <c r="C52" s="10" t="s">
        <v>4</v>
      </c>
      <c r="D52" s="10">
        <v>5.2560000000000002</v>
      </c>
      <c r="E52" s="13">
        <f t="shared" si="9"/>
        <v>306946.2695481336</v>
      </c>
      <c r="F52" s="10" t="s">
        <v>58</v>
      </c>
      <c r="G52" s="10">
        <v>2</v>
      </c>
      <c r="H52" s="14">
        <f t="shared" si="2"/>
        <v>2000</v>
      </c>
      <c r="I52" s="10"/>
      <c r="J52" s="10"/>
      <c r="K52" s="10"/>
      <c r="L52" s="13">
        <f t="shared" si="5"/>
        <v>4000</v>
      </c>
      <c r="M52" s="13">
        <v>50000</v>
      </c>
      <c r="N52" s="13">
        <f t="shared" si="6"/>
        <v>360946.2695481336</v>
      </c>
      <c r="O52" s="13">
        <f t="shared" si="7"/>
        <v>429526.06076227897</v>
      </c>
      <c r="P52" s="10">
        <v>0</v>
      </c>
      <c r="Q52" s="13">
        <f t="shared" si="10"/>
        <v>429526.06076227897</v>
      </c>
      <c r="R52" s="15">
        <f t="shared" si="0"/>
        <v>107.38151519056974</v>
      </c>
    </row>
    <row r="53" spans="1:18" x14ac:dyDescent="0.35">
      <c r="A53" s="10">
        <v>43</v>
      </c>
      <c r="B53" s="10" t="s">
        <v>104</v>
      </c>
      <c r="C53" s="10" t="s">
        <v>4</v>
      </c>
      <c r="D53" s="10">
        <v>5.1840000000000002</v>
      </c>
      <c r="E53" s="13">
        <f t="shared" si="9"/>
        <v>302741.52612966602</v>
      </c>
      <c r="F53" s="10" t="s">
        <v>58</v>
      </c>
      <c r="G53" s="10">
        <v>2</v>
      </c>
      <c r="H53" s="14">
        <f t="shared" si="2"/>
        <v>2000</v>
      </c>
      <c r="I53" s="10"/>
      <c r="J53" s="10"/>
      <c r="K53" s="10"/>
      <c r="L53" s="13">
        <f t="shared" si="5"/>
        <v>4000</v>
      </c>
      <c r="M53" s="13">
        <v>50000</v>
      </c>
      <c r="N53" s="13">
        <f t="shared" si="6"/>
        <v>356741.52612966602</v>
      </c>
      <c r="O53" s="13">
        <f t="shared" si="7"/>
        <v>424522.41609430255</v>
      </c>
      <c r="P53" s="10">
        <v>0</v>
      </c>
      <c r="Q53" s="13">
        <f t="shared" si="10"/>
        <v>424522.41609430255</v>
      </c>
      <c r="R53" s="15">
        <f t="shared" si="0"/>
        <v>106.13060402357564</v>
      </c>
    </row>
    <row r="54" spans="1:18" x14ac:dyDescent="0.35">
      <c r="A54" s="10">
        <v>44</v>
      </c>
      <c r="B54" s="10" t="s">
        <v>105</v>
      </c>
      <c r="C54" s="10" t="s">
        <v>4</v>
      </c>
      <c r="D54" s="10"/>
      <c r="E54" s="13">
        <f t="shared" si="9"/>
        <v>0</v>
      </c>
      <c r="F54" s="10"/>
      <c r="G54" s="10"/>
      <c r="H54" s="14" t="e">
        <f t="shared" si="2"/>
        <v>#N/A</v>
      </c>
      <c r="I54" s="10"/>
      <c r="J54" s="10"/>
      <c r="K54" s="10"/>
      <c r="L54" s="13" t="e">
        <f t="shared" si="5"/>
        <v>#N/A</v>
      </c>
      <c r="M54" s="13">
        <v>50000</v>
      </c>
      <c r="N54" s="13" t="e">
        <f t="shared" si="6"/>
        <v>#N/A</v>
      </c>
      <c r="O54" s="13" t="e">
        <f t="shared" si="7"/>
        <v>#N/A</v>
      </c>
      <c r="P54" s="10">
        <v>0</v>
      </c>
      <c r="Q54" s="13">
        <f>Q55+Q56</f>
        <v>432661.92257760314</v>
      </c>
      <c r="R54" s="15">
        <f t="shared" si="0"/>
        <v>108.16548064440079</v>
      </c>
    </row>
    <row r="55" spans="1:18" x14ac:dyDescent="0.35">
      <c r="A55" s="10">
        <v>44.1</v>
      </c>
      <c r="B55" s="10" t="s">
        <v>67</v>
      </c>
      <c r="C55" s="10" t="s">
        <v>4</v>
      </c>
      <c r="D55" s="10">
        <v>3.956</v>
      </c>
      <c r="E55" s="13">
        <f t="shared" si="9"/>
        <v>231027.29115913558</v>
      </c>
      <c r="F55" s="10" t="s">
        <v>60</v>
      </c>
      <c r="G55" s="10">
        <v>2</v>
      </c>
      <c r="H55" s="14">
        <f t="shared" si="2"/>
        <v>2500</v>
      </c>
      <c r="I55" s="10"/>
      <c r="J55" s="10"/>
      <c r="K55" s="10"/>
      <c r="L55" s="13">
        <f t="shared" si="5"/>
        <v>5000</v>
      </c>
      <c r="M55" s="13">
        <v>50000</v>
      </c>
      <c r="N55" s="13">
        <f t="shared" si="6"/>
        <v>286027.29115913558</v>
      </c>
      <c r="O55" s="13">
        <f t="shared" si="7"/>
        <v>340372.47647937131</v>
      </c>
      <c r="P55" s="10">
        <v>0</v>
      </c>
      <c r="Q55" s="13">
        <f t="shared" si="10"/>
        <v>340372.47647937131</v>
      </c>
      <c r="R55" s="15">
        <f t="shared" si="0"/>
        <v>85.093119119842825</v>
      </c>
    </row>
    <row r="56" spans="1:18" x14ac:dyDescent="0.35">
      <c r="A56" s="10">
        <v>44.2</v>
      </c>
      <c r="B56" s="10" t="s">
        <v>68</v>
      </c>
      <c r="C56" s="10" t="s">
        <v>4</v>
      </c>
      <c r="D56" s="10">
        <v>1.3280000000000001</v>
      </c>
      <c r="E56" s="13">
        <f t="shared" si="9"/>
        <v>77554.156385068767</v>
      </c>
      <c r="F56" s="10" t="s">
        <v>65</v>
      </c>
      <c r="G56" s="10"/>
      <c r="H56" s="14"/>
      <c r="I56" s="10"/>
      <c r="J56" s="10"/>
      <c r="K56" s="10"/>
      <c r="L56" s="13">
        <f t="shared" si="5"/>
        <v>0</v>
      </c>
      <c r="M56" s="13">
        <v>0</v>
      </c>
      <c r="N56" s="13">
        <f t="shared" si="6"/>
        <v>77554.156385068767</v>
      </c>
      <c r="O56" s="13">
        <f t="shared" si="7"/>
        <v>92289.446098231827</v>
      </c>
      <c r="P56" s="10">
        <v>0</v>
      </c>
      <c r="Q56" s="13">
        <f>O56+P56</f>
        <v>92289.446098231827</v>
      </c>
      <c r="R56" s="15">
        <f t="shared" si="0"/>
        <v>23.072361524557955</v>
      </c>
    </row>
    <row r="57" spans="1:18" x14ac:dyDescent="0.35">
      <c r="A57" s="10">
        <v>45</v>
      </c>
      <c r="B57" s="10" t="s">
        <v>106</v>
      </c>
      <c r="C57" s="10" t="s">
        <v>4</v>
      </c>
      <c r="D57" s="10"/>
      <c r="E57" s="13">
        <f>D57*$S$2</f>
        <v>0</v>
      </c>
      <c r="F57" s="10"/>
      <c r="G57" s="10"/>
      <c r="H57" s="14"/>
      <c r="I57" s="10"/>
      <c r="J57" s="10"/>
      <c r="K57" s="10"/>
      <c r="L57" s="13">
        <f t="shared" si="5"/>
        <v>0</v>
      </c>
      <c r="M57" s="13">
        <v>0</v>
      </c>
      <c r="N57" s="13">
        <f t="shared" si="6"/>
        <v>0</v>
      </c>
      <c r="O57" s="13">
        <f t="shared" si="7"/>
        <v>0</v>
      </c>
      <c r="P57" s="10">
        <v>0</v>
      </c>
      <c r="Q57" s="13">
        <f>Q58+Q59</f>
        <v>434538.28932809422</v>
      </c>
      <c r="R57" s="15">
        <f t="shared" si="0"/>
        <v>108.63457233202355</v>
      </c>
    </row>
    <row r="58" spans="1:18" x14ac:dyDescent="0.35">
      <c r="A58" s="10">
        <v>45.1</v>
      </c>
      <c r="B58" s="10" t="s">
        <v>67</v>
      </c>
      <c r="C58" s="10" t="s">
        <v>4</v>
      </c>
      <c r="D58" s="10">
        <v>3.8839999999999999</v>
      </c>
      <c r="E58" s="13">
        <f>D58*$S$2</f>
        <v>226822.54774066797</v>
      </c>
      <c r="F58" s="10" t="s">
        <v>60</v>
      </c>
      <c r="G58" s="10">
        <v>2</v>
      </c>
      <c r="H58" s="14">
        <f t="shared" si="2"/>
        <v>2500</v>
      </c>
      <c r="I58" s="10"/>
      <c r="J58" s="10"/>
      <c r="K58" s="10"/>
      <c r="L58" s="13">
        <f t="shared" si="5"/>
        <v>5000</v>
      </c>
      <c r="M58" s="13">
        <v>50000</v>
      </c>
      <c r="N58" s="13">
        <f t="shared" si="6"/>
        <v>281822.54774066794</v>
      </c>
      <c r="O58" s="13">
        <f t="shared" si="7"/>
        <v>335368.83181139483</v>
      </c>
      <c r="P58" s="10">
        <v>0</v>
      </c>
      <c r="Q58" s="13">
        <f t="shared" si="10"/>
        <v>335368.83181139483</v>
      </c>
      <c r="R58" s="15">
        <f t="shared" si="0"/>
        <v>83.84220795284871</v>
      </c>
    </row>
    <row r="59" spans="1:18" x14ac:dyDescent="0.35">
      <c r="A59" s="10">
        <v>45.2</v>
      </c>
      <c r="B59" s="10" t="s">
        <v>68</v>
      </c>
      <c r="C59" s="10" t="s">
        <v>4</v>
      </c>
      <c r="D59" s="10">
        <v>1.427</v>
      </c>
      <c r="E59" s="13">
        <f>D59*$S$2</f>
        <v>83335.67858546169</v>
      </c>
      <c r="F59" s="10" t="s">
        <v>65</v>
      </c>
      <c r="G59" s="10"/>
      <c r="H59" s="14"/>
      <c r="I59" s="10"/>
      <c r="J59" s="10"/>
      <c r="K59" s="10"/>
      <c r="L59" s="13">
        <f t="shared" si="5"/>
        <v>0</v>
      </c>
      <c r="M59" s="13">
        <v>0</v>
      </c>
      <c r="N59" s="13">
        <f t="shared" si="6"/>
        <v>83335.67858546169</v>
      </c>
      <c r="O59" s="13">
        <f t="shared" si="7"/>
        <v>99169.457516699418</v>
      </c>
      <c r="P59" s="10">
        <v>0</v>
      </c>
      <c r="Q59" s="13">
        <f t="shared" si="10"/>
        <v>99169.457516699418</v>
      </c>
      <c r="R59" s="15">
        <f t="shared" si="0"/>
        <v>24.792364379174856</v>
      </c>
    </row>
    <row r="60" spans="1:18" x14ac:dyDescent="0.35">
      <c r="A60" s="10">
        <v>46</v>
      </c>
      <c r="B60" s="10" t="s">
        <v>106</v>
      </c>
      <c r="C60" s="10" t="s">
        <v>4</v>
      </c>
      <c r="D60" s="10"/>
      <c r="E60" s="13">
        <f t="shared" si="9"/>
        <v>0</v>
      </c>
      <c r="F60" s="10"/>
      <c r="G60" s="10"/>
      <c r="H60" s="14" t="e">
        <f t="shared" si="2"/>
        <v>#N/A</v>
      </c>
      <c r="I60" s="10"/>
      <c r="J60" s="10"/>
      <c r="K60" s="10"/>
      <c r="L60" s="13" t="e">
        <f t="shared" si="5"/>
        <v>#N/A</v>
      </c>
      <c r="M60" s="13">
        <v>50000</v>
      </c>
      <c r="N60" s="13" t="e">
        <f t="shared" si="6"/>
        <v>#N/A</v>
      </c>
      <c r="O60" s="13" t="e">
        <f t="shared" si="7"/>
        <v>#N/A</v>
      </c>
      <c r="P60" s="10">
        <v>0</v>
      </c>
      <c r="Q60" s="13">
        <f>Q61+Q62</f>
        <v>441974.26126522594</v>
      </c>
      <c r="R60" s="15">
        <f t="shared" si="0"/>
        <v>110.49356531630649</v>
      </c>
    </row>
    <row r="61" spans="1:18" x14ac:dyDescent="0.35">
      <c r="A61" s="10">
        <v>46.1</v>
      </c>
      <c r="B61" s="10" t="s">
        <v>67</v>
      </c>
      <c r="C61" s="10" t="s">
        <v>4</v>
      </c>
      <c r="D61" s="10">
        <v>3.988</v>
      </c>
      <c r="E61" s="13">
        <f t="shared" si="9"/>
        <v>232896.06601178783</v>
      </c>
      <c r="F61" s="10" t="s">
        <v>60</v>
      </c>
      <c r="G61" s="10">
        <v>2</v>
      </c>
      <c r="H61" s="14">
        <f t="shared" si="2"/>
        <v>2500</v>
      </c>
      <c r="I61" s="10"/>
      <c r="J61" s="10"/>
      <c r="K61" s="10"/>
      <c r="L61" s="13">
        <f t="shared" si="5"/>
        <v>5000</v>
      </c>
      <c r="M61" s="13">
        <v>50000</v>
      </c>
      <c r="N61" s="13">
        <f t="shared" si="6"/>
        <v>287896.06601178786</v>
      </c>
      <c r="O61" s="13">
        <f t="shared" si="7"/>
        <v>342596.31855402753</v>
      </c>
      <c r="P61" s="10">
        <v>0</v>
      </c>
      <c r="Q61" s="13">
        <f t="shared" si="10"/>
        <v>342596.31855402753</v>
      </c>
      <c r="R61" s="15">
        <f t="shared" si="0"/>
        <v>85.649079638506876</v>
      </c>
    </row>
    <row r="62" spans="1:18" x14ac:dyDescent="0.35">
      <c r="A62" s="10">
        <v>46.2</v>
      </c>
      <c r="B62" s="10" t="s">
        <v>68</v>
      </c>
      <c r="C62" s="10" t="s">
        <v>4</v>
      </c>
      <c r="D62" s="10">
        <v>1.43</v>
      </c>
      <c r="E62" s="13">
        <f t="shared" si="9"/>
        <v>83510.876227897839</v>
      </c>
      <c r="F62" s="10" t="s">
        <v>65</v>
      </c>
      <c r="G62" s="10"/>
      <c r="H62" s="14"/>
      <c r="I62" s="10"/>
      <c r="J62" s="10"/>
      <c r="K62" s="10"/>
      <c r="L62" s="13">
        <f t="shared" si="5"/>
        <v>0</v>
      </c>
      <c r="M62" s="13">
        <v>0</v>
      </c>
      <c r="N62" s="13">
        <f t="shared" si="6"/>
        <v>83510.876227897839</v>
      </c>
      <c r="O62" s="13">
        <f t="shared" si="7"/>
        <v>99377.942711198426</v>
      </c>
      <c r="P62" s="10">
        <v>0</v>
      </c>
      <c r="Q62" s="13">
        <f t="shared" si="10"/>
        <v>99377.942711198426</v>
      </c>
      <c r="R62" s="15">
        <f t="shared" si="0"/>
        <v>24.844485677799607</v>
      </c>
    </row>
    <row r="63" spans="1:18" x14ac:dyDescent="0.35">
      <c r="A63" s="10">
        <v>47</v>
      </c>
      <c r="B63" s="10" t="s">
        <v>106</v>
      </c>
      <c r="C63" s="10" t="s">
        <v>4</v>
      </c>
      <c r="D63" s="10"/>
      <c r="E63" s="13">
        <f t="shared" si="9"/>
        <v>0</v>
      </c>
      <c r="F63" s="10"/>
      <c r="G63" s="10"/>
      <c r="H63" s="14" t="e">
        <f t="shared" si="2"/>
        <v>#N/A</v>
      </c>
      <c r="I63" s="10"/>
      <c r="J63" s="10"/>
      <c r="K63" s="10"/>
      <c r="L63" s="13" t="e">
        <f t="shared" si="5"/>
        <v>#N/A</v>
      </c>
      <c r="M63" s="13">
        <v>50000</v>
      </c>
      <c r="N63" s="13" t="e">
        <f t="shared" si="6"/>
        <v>#N/A</v>
      </c>
      <c r="O63" s="13" t="e">
        <f t="shared" si="7"/>
        <v>#N/A</v>
      </c>
      <c r="P63" s="10">
        <v>0</v>
      </c>
      <c r="Q63" s="13">
        <f>Q64+Q65</f>
        <v>428492.21868762281</v>
      </c>
      <c r="R63" s="15">
        <f t="shared" si="0"/>
        <v>107.12305467190571</v>
      </c>
    </row>
    <row r="64" spans="1:18" x14ac:dyDescent="0.35">
      <c r="A64" s="10">
        <v>47.1</v>
      </c>
      <c r="B64" s="10" t="s">
        <v>67</v>
      </c>
      <c r="C64" s="10" t="s">
        <v>4</v>
      </c>
      <c r="D64" s="10">
        <v>3.8010000000000002</v>
      </c>
      <c r="E64" s="13">
        <f t="shared" si="9"/>
        <v>221975.4129666012</v>
      </c>
      <c r="F64" s="10" t="s">
        <v>60</v>
      </c>
      <c r="G64" s="10">
        <v>2</v>
      </c>
      <c r="H64" s="14">
        <f t="shared" si="2"/>
        <v>2500</v>
      </c>
      <c r="I64" s="10"/>
      <c r="J64" s="10"/>
      <c r="K64" s="10"/>
      <c r="L64" s="13">
        <f t="shared" si="5"/>
        <v>5000</v>
      </c>
      <c r="M64" s="13">
        <v>50000</v>
      </c>
      <c r="N64" s="13">
        <f t="shared" si="6"/>
        <v>276975.4129666012</v>
      </c>
      <c r="O64" s="13">
        <f t="shared" si="7"/>
        <v>329600.74143025541</v>
      </c>
      <c r="P64" s="10">
        <v>0</v>
      </c>
      <c r="Q64" s="13">
        <f t="shared" si="10"/>
        <v>329600.74143025541</v>
      </c>
      <c r="R64" s="15">
        <f t="shared" si="0"/>
        <v>82.400185357563856</v>
      </c>
    </row>
    <row r="65" spans="1:18" x14ac:dyDescent="0.35">
      <c r="A65" s="10">
        <v>47.2</v>
      </c>
      <c r="B65" s="10" t="s">
        <v>68</v>
      </c>
      <c r="C65" s="10" t="s">
        <v>4</v>
      </c>
      <c r="D65" s="10">
        <v>1.423</v>
      </c>
      <c r="E65" s="13">
        <f t="shared" si="9"/>
        <v>83102.081728880163</v>
      </c>
      <c r="F65" s="10" t="s">
        <v>65</v>
      </c>
      <c r="G65" s="10"/>
      <c r="H65" s="14"/>
      <c r="I65" s="10"/>
      <c r="J65" s="10"/>
      <c r="K65" s="10"/>
      <c r="L65" s="13">
        <f t="shared" si="5"/>
        <v>0</v>
      </c>
      <c r="M65" s="13">
        <v>0</v>
      </c>
      <c r="N65" s="13">
        <f t="shared" si="6"/>
        <v>83102.081728880163</v>
      </c>
      <c r="O65" s="13">
        <f t="shared" si="7"/>
        <v>98891.477257367398</v>
      </c>
      <c r="P65" s="10">
        <v>0</v>
      </c>
      <c r="Q65" s="13">
        <f t="shared" si="10"/>
        <v>98891.477257367398</v>
      </c>
      <c r="R65" s="15">
        <f t="shared" si="0"/>
        <v>24.72286931434185</v>
      </c>
    </row>
    <row r="66" spans="1:18" x14ac:dyDescent="0.35">
      <c r="A66" s="10">
        <v>48</v>
      </c>
      <c r="B66" s="10" t="s">
        <v>107</v>
      </c>
      <c r="C66" s="10" t="s">
        <v>4</v>
      </c>
      <c r="D66" s="10">
        <v>5.4260000000000002</v>
      </c>
      <c r="E66" s="13">
        <f t="shared" si="9"/>
        <v>316874.13595284877</v>
      </c>
      <c r="F66" s="10" t="s">
        <v>58</v>
      </c>
      <c r="G66" s="10">
        <v>2</v>
      </c>
      <c r="H66" s="14">
        <f t="shared" si="2"/>
        <v>2000</v>
      </c>
      <c r="I66" s="10"/>
      <c r="J66" s="10"/>
      <c r="K66" s="10"/>
      <c r="L66" s="13">
        <f t="shared" si="5"/>
        <v>4000</v>
      </c>
      <c r="M66" s="13">
        <v>50000</v>
      </c>
      <c r="N66" s="13">
        <f t="shared" si="6"/>
        <v>370874.13595284877</v>
      </c>
      <c r="O66" s="13">
        <f t="shared" si="7"/>
        <v>441340.22178389004</v>
      </c>
      <c r="P66" s="10">
        <v>0</v>
      </c>
      <c r="Q66" s="13">
        <f t="shared" si="10"/>
        <v>441340.22178389004</v>
      </c>
      <c r="R66" s="15">
        <f t="shared" si="0"/>
        <v>110.33505544597251</v>
      </c>
    </row>
    <row r="67" spans="1:18" x14ac:dyDescent="0.35">
      <c r="A67" s="10">
        <v>49</v>
      </c>
      <c r="B67" s="10" t="s">
        <v>107</v>
      </c>
      <c r="C67" s="10" t="s">
        <v>4</v>
      </c>
      <c r="D67" s="10">
        <v>5.181</v>
      </c>
      <c r="E67" s="13">
        <f t="shared" si="9"/>
        <v>302566.32848722988</v>
      </c>
      <c r="F67" s="10" t="s">
        <v>58</v>
      </c>
      <c r="G67" s="10">
        <v>2</v>
      </c>
      <c r="H67" s="14">
        <f t="shared" si="2"/>
        <v>2000</v>
      </c>
      <c r="I67" s="10"/>
      <c r="J67" s="10"/>
      <c r="K67" s="10"/>
      <c r="L67" s="13">
        <f t="shared" si="5"/>
        <v>4000</v>
      </c>
      <c r="M67" s="13">
        <v>50000</v>
      </c>
      <c r="N67" s="13">
        <f t="shared" si="6"/>
        <v>356566.32848722988</v>
      </c>
      <c r="O67" s="13">
        <f t="shared" si="7"/>
        <v>424313.93089980353</v>
      </c>
      <c r="P67" s="10">
        <v>0</v>
      </c>
      <c r="Q67" s="13">
        <f t="shared" si="10"/>
        <v>424313.93089980353</v>
      </c>
      <c r="R67" s="15">
        <f t="shared" si="0"/>
        <v>106.07848272495089</v>
      </c>
    </row>
    <row r="68" spans="1:18" x14ac:dyDescent="0.35">
      <c r="A68" s="10">
        <v>50</v>
      </c>
      <c r="B68" s="10" t="s">
        <v>108</v>
      </c>
      <c r="C68" s="10" t="s">
        <v>4</v>
      </c>
      <c r="D68" s="10">
        <v>4.7530000000000001</v>
      </c>
      <c r="E68" s="13">
        <f t="shared" si="9"/>
        <v>277571.46483300591</v>
      </c>
      <c r="F68" s="10" t="s">
        <v>60</v>
      </c>
      <c r="G68" s="10">
        <v>10</v>
      </c>
      <c r="H68" s="14">
        <f t="shared" si="2"/>
        <v>2500</v>
      </c>
      <c r="I68" s="10" t="s">
        <v>58</v>
      </c>
      <c r="J68" s="10">
        <v>2</v>
      </c>
      <c r="K68" s="10">
        <f t="shared" ref="K68" si="11">VLOOKUP(I68,$U$2:$V$17,2,FALSE)</f>
        <v>2000</v>
      </c>
      <c r="L68" s="13">
        <f t="shared" si="5"/>
        <v>29000</v>
      </c>
      <c r="M68" s="13">
        <v>50000</v>
      </c>
      <c r="N68" s="13">
        <f t="shared" si="6"/>
        <v>356571.46483300591</v>
      </c>
      <c r="O68" s="13">
        <f t="shared" si="7"/>
        <v>424320.04315127706</v>
      </c>
      <c r="P68" s="10">
        <v>0</v>
      </c>
      <c r="Q68" s="13">
        <f t="shared" si="10"/>
        <v>424320.04315127706</v>
      </c>
      <c r="R68" s="15">
        <f t="shared" si="0"/>
        <v>106.08001078781926</v>
      </c>
    </row>
    <row r="69" spans="1:18" x14ac:dyDescent="0.35">
      <c r="A69" s="10">
        <v>51</v>
      </c>
      <c r="B69" s="10" t="s">
        <v>109</v>
      </c>
      <c r="C69" s="10" t="s">
        <v>4</v>
      </c>
      <c r="D69" s="10">
        <v>5.6550000000000002</v>
      </c>
      <c r="E69" s="13">
        <f t="shared" si="9"/>
        <v>330247.55599214148</v>
      </c>
      <c r="F69" s="10" t="s">
        <v>46</v>
      </c>
      <c r="G69" s="10">
        <v>2</v>
      </c>
      <c r="H69" s="14">
        <f t="shared" si="2"/>
        <v>75000</v>
      </c>
      <c r="I69" s="10"/>
      <c r="J69" s="10"/>
      <c r="K69" s="10"/>
      <c r="L69" s="13">
        <f t="shared" si="5"/>
        <v>150000</v>
      </c>
      <c r="M69" s="13">
        <v>50000</v>
      </c>
      <c r="N69" s="13">
        <f t="shared" si="6"/>
        <v>530247.55599214148</v>
      </c>
      <c r="O69" s="13">
        <f t="shared" si="7"/>
        <v>630994.59163064836</v>
      </c>
      <c r="P69" s="10">
        <v>0</v>
      </c>
      <c r="Q69" s="13">
        <f t="shared" si="10"/>
        <v>630994.59163064836</v>
      </c>
      <c r="R69" s="15">
        <f t="shared" si="0"/>
        <v>157.74864790766208</v>
      </c>
    </row>
    <row r="70" spans="1:18" x14ac:dyDescent="0.35">
      <c r="A70" s="10">
        <v>52</v>
      </c>
      <c r="B70" s="10" t="s">
        <v>110</v>
      </c>
      <c r="C70" s="10" t="s">
        <v>4</v>
      </c>
      <c r="D70" s="10">
        <v>3.9489999999999998</v>
      </c>
      <c r="E70" s="13">
        <f t="shared" si="9"/>
        <v>230618.49666011787</v>
      </c>
      <c r="F70" s="10" t="s">
        <v>65</v>
      </c>
      <c r="G70" s="10"/>
      <c r="H70" s="14"/>
      <c r="I70" s="10"/>
      <c r="J70" s="10"/>
      <c r="K70" s="10"/>
      <c r="L70" s="13">
        <f t="shared" si="5"/>
        <v>0</v>
      </c>
      <c r="M70" s="13">
        <v>250000</v>
      </c>
      <c r="N70" s="13">
        <f t="shared" si="6"/>
        <v>480618.49666011787</v>
      </c>
      <c r="O70" s="13">
        <f t="shared" si="7"/>
        <v>571936.0110255403</v>
      </c>
      <c r="P70" s="10">
        <v>0</v>
      </c>
      <c r="Q70" s="13">
        <f t="shared" si="10"/>
        <v>571936.0110255403</v>
      </c>
      <c r="R70" s="15">
        <f t="shared" ref="R70:R115" si="12">Q70/$S$1</f>
        <v>142.98400275638508</v>
      </c>
    </row>
    <row r="71" spans="1:18" x14ac:dyDescent="0.35">
      <c r="A71" s="10">
        <v>53</v>
      </c>
      <c r="B71" s="10" t="s">
        <v>111</v>
      </c>
      <c r="C71" s="10" t="s">
        <v>4</v>
      </c>
      <c r="D71" s="10">
        <v>3.3260000000000001</v>
      </c>
      <c r="E71" s="13">
        <f t="shared" si="9"/>
        <v>194235.78624754422</v>
      </c>
      <c r="F71" s="10" t="s">
        <v>46</v>
      </c>
      <c r="G71" s="10">
        <v>2</v>
      </c>
      <c r="H71" s="14">
        <f>VLOOKUP(F71,$U$2:$V$17,2,FALSE)</f>
        <v>75000</v>
      </c>
      <c r="I71" s="10"/>
      <c r="J71" s="10"/>
      <c r="K71" s="10"/>
      <c r="L71" s="13">
        <f t="shared" si="5"/>
        <v>150000</v>
      </c>
      <c r="M71" s="13">
        <v>50000</v>
      </c>
      <c r="N71" s="13">
        <f t="shared" si="6"/>
        <v>394235.78624754422</v>
      </c>
      <c r="O71" s="13">
        <f t="shared" si="7"/>
        <v>469140.58563457761</v>
      </c>
      <c r="P71" s="10">
        <v>0</v>
      </c>
      <c r="Q71" s="13">
        <f t="shared" si="10"/>
        <v>469140.58563457761</v>
      </c>
      <c r="R71" s="15">
        <f t="shared" si="12"/>
        <v>117.28514640864441</v>
      </c>
    </row>
    <row r="72" spans="1:18" x14ac:dyDescent="0.35">
      <c r="A72" s="10">
        <v>54</v>
      </c>
      <c r="B72" s="10" t="s">
        <v>112</v>
      </c>
      <c r="C72" s="10" t="s">
        <v>4</v>
      </c>
      <c r="D72" s="10">
        <v>4.0970000000000004</v>
      </c>
      <c r="E72" s="13">
        <f t="shared" si="9"/>
        <v>239261.58035363461</v>
      </c>
      <c r="F72" s="10" t="s">
        <v>46</v>
      </c>
      <c r="G72" s="10">
        <v>2</v>
      </c>
      <c r="H72" s="14">
        <f>VLOOKUP(F72,$U$2:$V$17,2,FALSE)</f>
        <v>75000</v>
      </c>
      <c r="I72" s="10"/>
      <c r="J72" s="10"/>
      <c r="K72" s="10"/>
      <c r="L72" s="13">
        <f t="shared" si="5"/>
        <v>150000</v>
      </c>
      <c r="M72" s="13">
        <v>50000</v>
      </c>
      <c r="N72" s="13">
        <f t="shared" si="6"/>
        <v>439261.58035363461</v>
      </c>
      <c r="O72" s="13">
        <f t="shared" si="7"/>
        <v>522721.28062082519</v>
      </c>
      <c r="P72" s="10">
        <v>0</v>
      </c>
      <c r="Q72" s="13">
        <f t="shared" si="10"/>
        <v>522721.28062082519</v>
      </c>
      <c r="R72" s="15">
        <f t="shared" si="12"/>
        <v>130.68032015520629</v>
      </c>
    </row>
    <row r="73" spans="1:18" x14ac:dyDescent="0.35">
      <c r="A73" s="10">
        <v>55</v>
      </c>
      <c r="B73" s="10" t="s">
        <v>113</v>
      </c>
      <c r="C73" s="10" t="s">
        <v>4</v>
      </c>
      <c r="D73" s="10">
        <v>4.8899999999999997</v>
      </c>
      <c r="E73" s="13">
        <f t="shared" si="9"/>
        <v>285572.15717092337</v>
      </c>
      <c r="F73" s="10" t="s">
        <v>46</v>
      </c>
      <c r="G73" s="10">
        <v>2</v>
      </c>
      <c r="H73" s="14">
        <f>VLOOKUP(F73,$U$2:$V$17,2,FALSE)</f>
        <v>75000</v>
      </c>
      <c r="I73" s="10"/>
      <c r="J73" s="10"/>
      <c r="K73" s="10"/>
      <c r="L73" s="13">
        <f t="shared" ref="L73:L83" si="13">(G73*H73)+(J73*K73)</f>
        <v>150000</v>
      </c>
      <c r="M73" s="13">
        <v>50000</v>
      </c>
      <c r="N73" s="13">
        <f t="shared" si="6"/>
        <v>485572.15717092337</v>
      </c>
      <c r="O73" s="13">
        <f t="shared" si="7"/>
        <v>577830.86703339883</v>
      </c>
      <c r="P73" s="10">
        <v>0</v>
      </c>
      <c r="Q73" s="13">
        <f t="shared" si="10"/>
        <v>577830.86703339883</v>
      </c>
      <c r="R73" s="15">
        <f t="shared" si="12"/>
        <v>144.4577167583497</v>
      </c>
    </row>
    <row r="74" spans="1:18" x14ac:dyDescent="0.35">
      <c r="A74" s="10">
        <v>56</v>
      </c>
      <c r="B74" s="10" t="s">
        <v>114</v>
      </c>
      <c r="C74" s="10" t="s">
        <v>4</v>
      </c>
      <c r="D74" s="10"/>
      <c r="E74" s="13">
        <f t="shared" si="9"/>
        <v>0</v>
      </c>
      <c r="F74" s="10"/>
      <c r="G74" s="10"/>
      <c r="H74" s="14"/>
      <c r="I74" s="10"/>
      <c r="J74" s="10"/>
      <c r="K74" s="10"/>
      <c r="L74" s="13">
        <f t="shared" si="13"/>
        <v>0</v>
      </c>
      <c r="M74" s="13">
        <v>0</v>
      </c>
      <c r="N74" s="13">
        <f t="shared" si="6"/>
        <v>0</v>
      </c>
      <c r="O74" s="13">
        <f t="shared" si="7"/>
        <v>0</v>
      </c>
      <c r="P74" s="10">
        <v>0</v>
      </c>
      <c r="Q74" s="13">
        <f>Q75+Q76</f>
        <v>735065.37719449901</v>
      </c>
      <c r="R74" s="15">
        <f t="shared" si="12"/>
        <v>183.76634429862474</v>
      </c>
    </row>
    <row r="75" spans="1:18" x14ac:dyDescent="0.35">
      <c r="A75" s="10">
        <v>56.1</v>
      </c>
      <c r="B75" s="10" t="s">
        <v>67</v>
      </c>
      <c r="C75" s="10" t="s">
        <v>4</v>
      </c>
      <c r="D75" s="10">
        <v>3.1850000000000001</v>
      </c>
      <c r="E75" s="13">
        <f t="shared" si="9"/>
        <v>186001.4970530452</v>
      </c>
      <c r="F75" s="10" t="s">
        <v>46</v>
      </c>
      <c r="G75" s="10">
        <v>4</v>
      </c>
      <c r="H75" s="14">
        <f>VLOOKUP(F75,$U$2:$V$17,2,FALSE)</f>
        <v>75000</v>
      </c>
      <c r="I75" s="10"/>
      <c r="J75" s="10"/>
      <c r="K75" s="10"/>
      <c r="L75" s="13">
        <f t="shared" si="13"/>
        <v>300000</v>
      </c>
      <c r="M75" s="13">
        <v>50000</v>
      </c>
      <c r="N75" s="13">
        <f t="shared" si="6"/>
        <v>536001.4970530452</v>
      </c>
      <c r="O75" s="13">
        <f t="shared" si="7"/>
        <v>637841.78149312374</v>
      </c>
      <c r="P75" s="10">
        <v>0</v>
      </c>
      <c r="Q75" s="13">
        <f t="shared" si="10"/>
        <v>637841.78149312374</v>
      </c>
      <c r="R75" s="15">
        <f t="shared" si="12"/>
        <v>159.46044537328095</v>
      </c>
    </row>
    <row r="76" spans="1:18" x14ac:dyDescent="0.35">
      <c r="A76" s="10">
        <v>56.2</v>
      </c>
      <c r="B76" s="10" t="s">
        <v>68</v>
      </c>
      <c r="C76" s="10" t="s">
        <v>4</v>
      </c>
      <c r="D76" s="10">
        <v>1.399</v>
      </c>
      <c r="E76" s="13">
        <f t="shared" si="9"/>
        <v>81700.500589390969</v>
      </c>
      <c r="F76" s="10" t="s">
        <v>65</v>
      </c>
      <c r="G76" s="10"/>
      <c r="H76" s="14"/>
      <c r="I76" s="10"/>
      <c r="J76" s="10"/>
      <c r="K76" s="10"/>
      <c r="L76" s="13">
        <f t="shared" si="13"/>
        <v>0</v>
      </c>
      <c r="M76" s="13">
        <v>0</v>
      </c>
      <c r="N76" s="13">
        <f t="shared" ref="N76:N83" si="14">E76+L76+M76</f>
        <v>81700.500589390969</v>
      </c>
      <c r="O76" s="13">
        <f t="shared" ref="O76:O115" si="15">N76+(N76*$S$3)</f>
        <v>97223.595701375249</v>
      </c>
      <c r="P76" s="10">
        <v>0</v>
      </c>
      <c r="Q76" s="13">
        <f t="shared" si="10"/>
        <v>97223.595701375249</v>
      </c>
      <c r="R76" s="15">
        <f t="shared" si="12"/>
        <v>24.305898925343811</v>
      </c>
    </row>
    <row r="77" spans="1:18" x14ac:dyDescent="0.35">
      <c r="A77" s="10">
        <v>57</v>
      </c>
      <c r="B77" s="10" t="s">
        <v>114</v>
      </c>
      <c r="C77" s="10" t="s">
        <v>4</v>
      </c>
      <c r="D77" s="10"/>
      <c r="E77" s="13">
        <f t="shared" si="9"/>
        <v>0</v>
      </c>
      <c r="F77" s="10"/>
      <c r="G77" s="10"/>
      <c r="H77" s="14"/>
      <c r="I77" s="10"/>
      <c r="J77" s="10"/>
      <c r="K77" s="10"/>
      <c r="L77" s="13">
        <f t="shared" si="13"/>
        <v>0</v>
      </c>
      <c r="M77" s="13">
        <v>0</v>
      </c>
      <c r="N77" s="13">
        <f t="shared" si="14"/>
        <v>0</v>
      </c>
      <c r="O77" s="13">
        <f t="shared" si="15"/>
        <v>0</v>
      </c>
      <c r="P77" s="10">
        <v>0</v>
      </c>
      <c r="Q77" s="13">
        <f>Q78+Q79</f>
        <v>820057.84148526529</v>
      </c>
      <c r="R77" s="15">
        <f t="shared" si="12"/>
        <v>205.01446037131632</v>
      </c>
    </row>
    <row r="78" spans="1:18" x14ac:dyDescent="0.35">
      <c r="A78" s="10">
        <v>57.1</v>
      </c>
      <c r="B78" s="10" t="s">
        <v>67</v>
      </c>
      <c r="C78" s="10" t="s">
        <v>4</v>
      </c>
      <c r="D78" s="10">
        <v>3.5670000000000002</v>
      </c>
      <c r="E78" s="13">
        <f t="shared" si="9"/>
        <v>208309.99685658154</v>
      </c>
      <c r="F78" s="10" t="s">
        <v>46</v>
      </c>
      <c r="G78" s="10">
        <v>4</v>
      </c>
      <c r="H78" s="14">
        <f>VLOOKUP(F78,$U$2:$V$17,2,FALSE)</f>
        <v>75000</v>
      </c>
      <c r="I78" s="10"/>
      <c r="J78" s="10"/>
      <c r="K78" s="10"/>
      <c r="L78" s="13">
        <f t="shared" si="13"/>
        <v>300000</v>
      </c>
      <c r="M78" s="13">
        <v>50000</v>
      </c>
      <c r="N78" s="13">
        <f t="shared" si="14"/>
        <v>558309.99685658154</v>
      </c>
      <c r="O78" s="13">
        <f t="shared" si="15"/>
        <v>664388.89625933208</v>
      </c>
      <c r="P78" s="10">
        <v>0</v>
      </c>
      <c r="Q78" s="13">
        <f t="shared" si="10"/>
        <v>664388.89625933208</v>
      </c>
      <c r="R78" s="15">
        <f t="shared" si="12"/>
        <v>166.09722406483303</v>
      </c>
    </row>
    <row r="79" spans="1:18" x14ac:dyDescent="0.35">
      <c r="A79" s="10">
        <v>57.2</v>
      </c>
      <c r="B79" s="10" t="s">
        <v>68</v>
      </c>
      <c r="C79" s="10" t="s">
        <v>4</v>
      </c>
      <c r="D79" s="10">
        <v>2.2400000000000002</v>
      </c>
      <c r="E79" s="13">
        <f t="shared" si="9"/>
        <v>130814.23968565818</v>
      </c>
      <c r="F79" s="10" t="s">
        <v>65</v>
      </c>
      <c r="G79" s="10"/>
      <c r="H79" s="14"/>
      <c r="I79" s="10"/>
      <c r="J79" s="10"/>
      <c r="K79" s="10"/>
      <c r="L79" s="13">
        <f t="shared" si="13"/>
        <v>0</v>
      </c>
      <c r="M79" s="13">
        <v>0</v>
      </c>
      <c r="N79" s="13">
        <f t="shared" si="14"/>
        <v>130814.23968565818</v>
      </c>
      <c r="O79" s="13">
        <f t="shared" si="15"/>
        <v>155668.94522593322</v>
      </c>
      <c r="P79" s="10">
        <v>0</v>
      </c>
      <c r="Q79" s="13">
        <f t="shared" si="10"/>
        <v>155668.94522593322</v>
      </c>
      <c r="R79" s="15">
        <f t="shared" si="12"/>
        <v>38.917236306483304</v>
      </c>
    </row>
    <row r="80" spans="1:18" x14ac:dyDescent="0.35">
      <c r="A80" s="10">
        <v>58</v>
      </c>
      <c r="B80" s="10" t="s">
        <v>115</v>
      </c>
      <c r="C80" s="10" t="s">
        <v>4</v>
      </c>
      <c r="D80" s="10">
        <v>1.2450000000000001</v>
      </c>
      <c r="E80" s="13">
        <f t="shared" si="9"/>
        <v>72707.021611001968</v>
      </c>
      <c r="F80" s="10" t="s">
        <v>58</v>
      </c>
      <c r="G80" s="10">
        <v>2</v>
      </c>
      <c r="H80" s="14">
        <f t="shared" ref="H80:H110" si="16">VLOOKUP(F80,$U$2:$V$17,2,FALSE)</f>
        <v>2000</v>
      </c>
      <c r="I80" s="10"/>
      <c r="J80" s="10"/>
      <c r="K80" s="10"/>
      <c r="L80" s="13">
        <f t="shared" si="13"/>
        <v>4000</v>
      </c>
      <c r="M80" s="13">
        <v>50000</v>
      </c>
      <c r="N80" s="13">
        <f t="shared" si="14"/>
        <v>126707.02161100197</v>
      </c>
      <c r="O80" s="13">
        <f t="shared" si="15"/>
        <v>150781.35571709235</v>
      </c>
      <c r="P80" s="10">
        <v>0</v>
      </c>
      <c r="Q80" s="13">
        <f t="shared" si="10"/>
        <v>150781.35571709235</v>
      </c>
      <c r="R80" s="15">
        <f t="shared" si="12"/>
        <v>37.695338929273085</v>
      </c>
    </row>
    <row r="81" spans="1:18" x14ac:dyDescent="0.35">
      <c r="A81" s="10">
        <v>59</v>
      </c>
      <c r="B81" s="10" t="s">
        <v>116</v>
      </c>
      <c r="C81" s="10" t="s">
        <v>4</v>
      </c>
      <c r="D81" s="10">
        <v>6.5359999999999996</v>
      </c>
      <c r="E81" s="13">
        <f t="shared" si="9"/>
        <v>381697.26365422393</v>
      </c>
      <c r="F81" s="10" t="s">
        <v>59</v>
      </c>
      <c r="G81" s="10">
        <v>18</v>
      </c>
      <c r="H81" s="14">
        <f t="shared" si="16"/>
        <v>300</v>
      </c>
      <c r="I81" s="10"/>
      <c r="J81" s="10"/>
      <c r="K81" s="10"/>
      <c r="L81" s="13">
        <f t="shared" si="13"/>
        <v>5400</v>
      </c>
      <c r="M81" s="13">
        <v>50000</v>
      </c>
      <c r="N81" s="13">
        <f t="shared" si="14"/>
        <v>437097.26365422393</v>
      </c>
      <c r="O81" s="13">
        <f t="shared" si="15"/>
        <v>520145.7437485265</v>
      </c>
      <c r="P81" s="10">
        <v>0</v>
      </c>
      <c r="Q81" s="13">
        <f t="shared" si="10"/>
        <v>520145.7437485265</v>
      </c>
      <c r="R81" s="15">
        <f t="shared" si="12"/>
        <v>130.03643593713161</v>
      </c>
    </row>
    <row r="82" spans="1:18" x14ac:dyDescent="0.35">
      <c r="A82" s="10">
        <v>60</v>
      </c>
      <c r="B82" s="10" t="s">
        <v>116</v>
      </c>
      <c r="C82" s="10" t="s">
        <v>4</v>
      </c>
      <c r="D82" s="10">
        <v>6.3019999999999996</v>
      </c>
      <c r="E82" s="13">
        <f t="shared" si="9"/>
        <v>368031.84754420433</v>
      </c>
      <c r="F82" s="10" t="s">
        <v>59</v>
      </c>
      <c r="G82" s="10">
        <v>18</v>
      </c>
      <c r="H82" s="14">
        <f t="shared" si="16"/>
        <v>300</v>
      </c>
      <c r="I82" s="10"/>
      <c r="J82" s="10"/>
      <c r="K82" s="10"/>
      <c r="L82" s="13">
        <f t="shared" si="13"/>
        <v>5400</v>
      </c>
      <c r="M82" s="13">
        <v>50000</v>
      </c>
      <c r="N82" s="13">
        <f t="shared" si="14"/>
        <v>423431.84754420433</v>
      </c>
      <c r="O82" s="13">
        <f t="shared" si="15"/>
        <v>503883.89857760316</v>
      </c>
      <c r="P82" s="10">
        <v>0</v>
      </c>
      <c r="Q82" s="13">
        <f t="shared" si="10"/>
        <v>503883.89857760316</v>
      </c>
      <c r="R82" s="15">
        <f t="shared" si="12"/>
        <v>125.9709746444008</v>
      </c>
    </row>
    <row r="83" spans="1:18" x14ac:dyDescent="0.35">
      <c r="A83" s="10">
        <v>61</v>
      </c>
      <c r="B83" s="10" t="s">
        <v>116</v>
      </c>
      <c r="C83" s="10" t="s">
        <v>4</v>
      </c>
      <c r="D83" s="10">
        <v>6.8559999999999999</v>
      </c>
      <c r="E83" s="13">
        <f t="shared" si="9"/>
        <v>400385.01218074659</v>
      </c>
      <c r="F83" s="10" t="s">
        <v>59</v>
      </c>
      <c r="G83" s="10">
        <v>18</v>
      </c>
      <c r="H83" s="14">
        <f t="shared" si="16"/>
        <v>300</v>
      </c>
      <c r="I83" s="10"/>
      <c r="J83" s="10"/>
      <c r="K83" s="10"/>
      <c r="L83" s="13">
        <f t="shared" si="13"/>
        <v>5400</v>
      </c>
      <c r="M83" s="13">
        <v>50000</v>
      </c>
      <c r="N83" s="13">
        <f t="shared" si="14"/>
        <v>455785.01218074659</v>
      </c>
      <c r="O83" s="13">
        <f t="shared" si="15"/>
        <v>542384.16449508839</v>
      </c>
      <c r="P83" s="10">
        <v>0</v>
      </c>
      <c r="Q83" s="13">
        <f t="shared" si="10"/>
        <v>542384.16449508839</v>
      </c>
      <c r="R83" s="15">
        <f t="shared" si="12"/>
        <v>135.5960411237721</v>
      </c>
    </row>
    <row r="84" spans="1:18" x14ac:dyDescent="0.35">
      <c r="A84" s="10">
        <v>62</v>
      </c>
      <c r="B84" s="10" t="s">
        <v>117</v>
      </c>
      <c r="C84" s="10" t="s">
        <v>4</v>
      </c>
      <c r="D84" s="10">
        <v>6.4720000000000004</v>
      </c>
      <c r="E84" s="13">
        <f t="shared" si="9"/>
        <v>377959.7139489195</v>
      </c>
      <c r="F84" s="10" t="s">
        <v>59</v>
      </c>
      <c r="G84" s="10">
        <v>18</v>
      </c>
      <c r="H84" s="14">
        <f t="shared" si="16"/>
        <v>300</v>
      </c>
      <c r="I84" s="10"/>
      <c r="J84" s="10"/>
      <c r="K84" s="10"/>
      <c r="L84" s="13">
        <f t="shared" ref="L84:L115" si="17">(G84*H84)+(J84*K84)</f>
        <v>5400</v>
      </c>
      <c r="M84" s="13">
        <v>50000</v>
      </c>
      <c r="N84" s="13">
        <f t="shared" ref="N84:N115" si="18">E84+L84+M84</f>
        <v>433359.7139489195</v>
      </c>
      <c r="O84" s="13">
        <f t="shared" si="15"/>
        <v>515698.05959921423</v>
      </c>
      <c r="P84" s="10">
        <v>0</v>
      </c>
      <c r="Q84" s="13">
        <f t="shared" ref="Q84:Q105" si="19">O84+P84</f>
        <v>515698.05959921423</v>
      </c>
      <c r="R84" s="15">
        <f t="shared" si="12"/>
        <v>128.92451489980357</v>
      </c>
    </row>
    <row r="85" spans="1:18" x14ac:dyDescent="0.35">
      <c r="A85" s="10">
        <v>63</v>
      </c>
      <c r="B85" s="10" t="s">
        <v>118</v>
      </c>
      <c r="C85" s="10" t="s">
        <v>4</v>
      </c>
      <c r="D85" s="10">
        <v>8.8030000000000008</v>
      </c>
      <c r="E85" s="13">
        <f t="shared" si="9"/>
        <v>514088.28212180751</v>
      </c>
      <c r="F85" s="10" t="s">
        <v>59</v>
      </c>
      <c r="G85" s="10">
        <v>18</v>
      </c>
      <c r="H85" s="14">
        <f t="shared" si="16"/>
        <v>300</v>
      </c>
      <c r="I85" s="10"/>
      <c r="J85" s="10"/>
      <c r="K85" s="10"/>
      <c r="L85" s="13">
        <f t="shared" si="17"/>
        <v>5400</v>
      </c>
      <c r="M85" s="13">
        <v>50000</v>
      </c>
      <c r="N85" s="13">
        <f t="shared" si="18"/>
        <v>569488.28212180757</v>
      </c>
      <c r="O85" s="13">
        <f t="shared" si="15"/>
        <v>677691.05572495097</v>
      </c>
      <c r="P85" s="10">
        <v>0</v>
      </c>
      <c r="Q85" s="13">
        <f t="shared" si="19"/>
        <v>677691.05572495097</v>
      </c>
      <c r="R85" s="15">
        <f t="shared" si="12"/>
        <v>169.42276393123774</v>
      </c>
    </row>
    <row r="86" spans="1:18" x14ac:dyDescent="0.35">
      <c r="A86" s="10">
        <v>64</v>
      </c>
      <c r="B86" s="10" t="s">
        <v>119</v>
      </c>
      <c r="C86" s="10" t="s">
        <v>4</v>
      </c>
      <c r="D86" s="10">
        <v>5.8540000000000001</v>
      </c>
      <c r="E86" s="13">
        <f t="shared" si="9"/>
        <v>341868.99960707274</v>
      </c>
      <c r="F86" s="10" t="s">
        <v>46</v>
      </c>
      <c r="G86" s="10">
        <v>1</v>
      </c>
      <c r="H86" s="14">
        <f t="shared" si="16"/>
        <v>75000</v>
      </c>
      <c r="I86" s="10"/>
      <c r="J86" s="10"/>
      <c r="K86" s="10"/>
      <c r="L86" s="13">
        <f t="shared" si="17"/>
        <v>75000</v>
      </c>
      <c r="M86" s="13">
        <v>50000</v>
      </c>
      <c r="N86" s="13">
        <f t="shared" si="18"/>
        <v>466868.99960707274</v>
      </c>
      <c r="O86" s="13">
        <f t="shared" si="15"/>
        <v>555574.10953241657</v>
      </c>
      <c r="P86" s="10">
        <v>0</v>
      </c>
      <c r="Q86" s="13">
        <f t="shared" si="19"/>
        <v>555574.10953241657</v>
      </c>
      <c r="R86" s="15">
        <f t="shared" si="12"/>
        <v>138.89352738310413</v>
      </c>
    </row>
    <row r="87" spans="1:18" x14ac:dyDescent="0.35">
      <c r="A87" s="10">
        <v>65</v>
      </c>
      <c r="B87" s="10" t="s">
        <v>120</v>
      </c>
      <c r="C87" s="10" t="s">
        <v>4</v>
      </c>
      <c r="D87" s="10">
        <v>6.89</v>
      </c>
      <c r="E87" s="13">
        <f t="shared" si="9"/>
        <v>402370.58546168957</v>
      </c>
      <c r="F87" s="10" t="s">
        <v>58</v>
      </c>
      <c r="G87" s="10">
        <v>1</v>
      </c>
      <c r="H87" s="14">
        <f t="shared" si="16"/>
        <v>2000</v>
      </c>
      <c r="I87" s="10"/>
      <c r="J87" s="10"/>
      <c r="K87" s="10"/>
      <c r="L87" s="13">
        <f t="shared" si="17"/>
        <v>2000</v>
      </c>
      <c r="M87" s="13">
        <v>50000</v>
      </c>
      <c r="N87" s="13">
        <f t="shared" si="18"/>
        <v>454370.58546168957</v>
      </c>
      <c r="O87" s="13">
        <f t="shared" si="15"/>
        <v>540700.99669941061</v>
      </c>
      <c r="P87" s="10">
        <v>0</v>
      </c>
      <c r="Q87" s="13">
        <f t="shared" si="19"/>
        <v>540700.99669941061</v>
      </c>
      <c r="R87" s="15">
        <f t="shared" si="12"/>
        <v>135.17524917485264</v>
      </c>
    </row>
    <row r="88" spans="1:18" x14ac:dyDescent="0.35">
      <c r="A88" s="10">
        <v>66</v>
      </c>
      <c r="B88" s="10" t="s">
        <v>121</v>
      </c>
      <c r="C88" s="10" t="s">
        <v>4</v>
      </c>
      <c r="D88" s="10">
        <v>6.0510000000000002</v>
      </c>
      <c r="E88" s="13">
        <f t="shared" si="9"/>
        <v>353373.64479371317</v>
      </c>
      <c r="F88" s="10" t="s">
        <v>58</v>
      </c>
      <c r="G88" s="10">
        <v>3</v>
      </c>
      <c r="H88" s="14">
        <f t="shared" si="16"/>
        <v>2000</v>
      </c>
      <c r="I88" s="10"/>
      <c r="J88" s="10"/>
      <c r="K88" s="10"/>
      <c r="L88" s="13">
        <f t="shared" si="17"/>
        <v>6000</v>
      </c>
      <c r="M88" s="13">
        <v>50000</v>
      </c>
      <c r="N88" s="13">
        <f t="shared" si="18"/>
        <v>409373.64479371317</v>
      </c>
      <c r="O88" s="13">
        <f t="shared" si="15"/>
        <v>487154.63730451866</v>
      </c>
      <c r="P88" s="10">
        <v>0</v>
      </c>
      <c r="Q88" s="13">
        <f t="shared" si="19"/>
        <v>487154.63730451866</v>
      </c>
      <c r="R88" s="15">
        <f t="shared" si="12"/>
        <v>121.78865932612966</v>
      </c>
    </row>
    <row r="89" spans="1:18" x14ac:dyDescent="0.35">
      <c r="A89" s="10">
        <v>67</v>
      </c>
      <c r="B89" s="10" t="s">
        <v>122</v>
      </c>
      <c r="C89" s="10" t="s">
        <v>4</v>
      </c>
      <c r="D89" s="10">
        <v>5.3840000000000003</v>
      </c>
      <c r="E89" s="13">
        <f t="shared" si="9"/>
        <v>314421.36895874265</v>
      </c>
      <c r="F89" s="10" t="s">
        <v>48</v>
      </c>
      <c r="G89" s="10">
        <v>1</v>
      </c>
      <c r="H89" s="14">
        <f t="shared" si="16"/>
        <v>50000</v>
      </c>
      <c r="I89" s="10"/>
      <c r="J89" s="10"/>
      <c r="K89" s="10"/>
      <c r="L89" s="13">
        <f t="shared" si="17"/>
        <v>50000</v>
      </c>
      <c r="M89" s="13">
        <v>50000</v>
      </c>
      <c r="N89" s="13">
        <f t="shared" si="18"/>
        <v>414421.36895874265</v>
      </c>
      <c r="O89" s="13">
        <f t="shared" si="15"/>
        <v>493161.42906090373</v>
      </c>
      <c r="P89" s="10">
        <v>0</v>
      </c>
      <c r="Q89" s="13">
        <f t="shared" si="19"/>
        <v>493161.42906090373</v>
      </c>
      <c r="R89" s="15">
        <f t="shared" si="12"/>
        <v>123.29035726522594</v>
      </c>
    </row>
    <row r="90" spans="1:18" x14ac:dyDescent="0.35">
      <c r="A90" s="10">
        <v>68</v>
      </c>
      <c r="B90" s="10" t="s">
        <v>123</v>
      </c>
      <c r="C90" s="10" t="s">
        <v>4</v>
      </c>
      <c r="D90" s="10">
        <v>6.9020000000000001</v>
      </c>
      <c r="E90" s="13">
        <f t="shared" si="9"/>
        <v>403071.37603143422</v>
      </c>
      <c r="F90" s="10" t="s">
        <v>47</v>
      </c>
      <c r="G90" s="10">
        <v>1</v>
      </c>
      <c r="H90" s="14">
        <f t="shared" si="16"/>
        <v>38000</v>
      </c>
      <c r="I90" s="10"/>
      <c r="J90" s="10"/>
      <c r="K90" s="10"/>
      <c r="L90" s="13">
        <f t="shared" si="17"/>
        <v>38000</v>
      </c>
      <c r="M90" s="13">
        <v>50000</v>
      </c>
      <c r="N90" s="13">
        <f t="shared" si="18"/>
        <v>491071.37603143422</v>
      </c>
      <c r="O90" s="13">
        <f t="shared" si="15"/>
        <v>584374.9374774067</v>
      </c>
      <c r="P90" s="10">
        <v>0</v>
      </c>
      <c r="Q90" s="13">
        <f t="shared" si="19"/>
        <v>584374.9374774067</v>
      </c>
      <c r="R90" s="15">
        <f t="shared" si="12"/>
        <v>146.09373436935167</v>
      </c>
    </row>
    <row r="91" spans="1:18" x14ac:dyDescent="0.35">
      <c r="A91" s="10">
        <v>69</v>
      </c>
      <c r="B91" s="10" t="s">
        <v>124</v>
      </c>
      <c r="C91" s="10" t="s">
        <v>4</v>
      </c>
      <c r="D91" s="10">
        <v>6.1050000000000004</v>
      </c>
      <c r="E91" s="13">
        <f t="shared" ref="E91:E115" si="20">D91*$S$2</f>
        <v>356527.20235756389</v>
      </c>
      <c r="F91" s="10" t="s">
        <v>49</v>
      </c>
      <c r="G91" s="10">
        <v>1</v>
      </c>
      <c r="H91" s="14">
        <f t="shared" si="16"/>
        <v>50000</v>
      </c>
      <c r="I91" s="10"/>
      <c r="J91" s="10"/>
      <c r="K91" s="10"/>
      <c r="L91" s="13">
        <f t="shared" si="17"/>
        <v>50000</v>
      </c>
      <c r="M91" s="13">
        <v>50000</v>
      </c>
      <c r="N91" s="13">
        <f t="shared" si="18"/>
        <v>456527.20235756389</v>
      </c>
      <c r="O91" s="13">
        <f t="shared" si="15"/>
        <v>543267.37080550101</v>
      </c>
      <c r="P91" s="10">
        <v>0</v>
      </c>
      <c r="Q91" s="13">
        <f t="shared" si="19"/>
        <v>543267.37080550101</v>
      </c>
      <c r="R91" s="15">
        <f t="shared" si="12"/>
        <v>135.81684270137526</v>
      </c>
    </row>
    <row r="92" spans="1:18" x14ac:dyDescent="0.35">
      <c r="A92" s="10">
        <v>70</v>
      </c>
      <c r="B92" s="10" t="s">
        <v>125</v>
      </c>
      <c r="C92" s="10" t="s">
        <v>4</v>
      </c>
      <c r="D92" s="10">
        <v>6.593</v>
      </c>
      <c r="E92" s="13">
        <f t="shared" si="20"/>
        <v>385026.01886051084</v>
      </c>
      <c r="F92" s="10" t="s">
        <v>47</v>
      </c>
      <c r="G92" s="10">
        <v>1</v>
      </c>
      <c r="H92" s="14">
        <f t="shared" si="16"/>
        <v>38000</v>
      </c>
      <c r="I92" s="10"/>
      <c r="J92" s="10"/>
      <c r="K92" s="10"/>
      <c r="L92" s="13">
        <f t="shared" si="17"/>
        <v>38000</v>
      </c>
      <c r="M92" s="13">
        <v>50000</v>
      </c>
      <c r="N92" s="13">
        <f t="shared" si="18"/>
        <v>473026.01886051084</v>
      </c>
      <c r="O92" s="13">
        <f t="shared" si="15"/>
        <v>562900.96244400786</v>
      </c>
      <c r="P92" s="10">
        <v>0</v>
      </c>
      <c r="Q92" s="13">
        <f t="shared" si="19"/>
        <v>562900.96244400786</v>
      </c>
      <c r="R92" s="15">
        <f t="shared" si="12"/>
        <v>140.72524061100196</v>
      </c>
    </row>
    <row r="93" spans="1:18" x14ac:dyDescent="0.35">
      <c r="A93" s="10">
        <v>71</v>
      </c>
      <c r="B93" s="10" t="s">
        <v>126</v>
      </c>
      <c r="C93" s="10" t="s">
        <v>4</v>
      </c>
      <c r="D93" s="10">
        <v>5.6050000000000004</v>
      </c>
      <c r="E93" s="13">
        <f t="shared" si="20"/>
        <v>327327.59528487234</v>
      </c>
      <c r="F93" s="10" t="s">
        <v>46</v>
      </c>
      <c r="G93" s="10">
        <v>1</v>
      </c>
      <c r="H93" s="14">
        <f t="shared" si="16"/>
        <v>75000</v>
      </c>
      <c r="I93" s="10"/>
      <c r="J93" s="10"/>
      <c r="K93" s="10"/>
      <c r="L93" s="13">
        <f t="shared" si="17"/>
        <v>75000</v>
      </c>
      <c r="M93" s="13">
        <v>50000</v>
      </c>
      <c r="N93" s="13">
        <f t="shared" si="18"/>
        <v>452327.59528487234</v>
      </c>
      <c r="O93" s="13">
        <f t="shared" si="15"/>
        <v>538269.83838899806</v>
      </c>
      <c r="P93" s="10">
        <v>0</v>
      </c>
      <c r="Q93" s="13">
        <f t="shared" si="19"/>
        <v>538269.83838899806</v>
      </c>
      <c r="R93" s="15">
        <f t="shared" si="12"/>
        <v>134.56745959724952</v>
      </c>
    </row>
    <row r="94" spans="1:18" x14ac:dyDescent="0.35">
      <c r="A94" s="10">
        <v>72</v>
      </c>
      <c r="B94" s="10" t="s">
        <v>127</v>
      </c>
      <c r="C94" s="10" t="s">
        <v>4</v>
      </c>
      <c r="D94" s="10">
        <v>6.4470000000000001</v>
      </c>
      <c r="E94" s="13">
        <f t="shared" si="20"/>
        <v>376499.73359528487</v>
      </c>
      <c r="F94" s="10" t="s">
        <v>58</v>
      </c>
      <c r="G94" s="10">
        <v>3</v>
      </c>
      <c r="H94" s="14">
        <f t="shared" si="16"/>
        <v>2000</v>
      </c>
      <c r="I94" s="10"/>
      <c r="J94" s="10"/>
      <c r="K94" s="10"/>
      <c r="L94" s="13">
        <f t="shared" si="17"/>
        <v>6000</v>
      </c>
      <c r="M94" s="13">
        <v>50000</v>
      </c>
      <c r="N94" s="13">
        <f t="shared" si="18"/>
        <v>432499.73359528487</v>
      </c>
      <c r="O94" s="13">
        <f t="shared" si="15"/>
        <v>514674.68297838897</v>
      </c>
      <c r="P94" s="10">
        <v>0</v>
      </c>
      <c r="Q94" s="13">
        <f t="shared" si="19"/>
        <v>514674.68297838897</v>
      </c>
      <c r="R94" s="15">
        <f t="shared" si="12"/>
        <v>128.66867074459725</v>
      </c>
    </row>
    <row r="95" spans="1:18" x14ac:dyDescent="0.35">
      <c r="A95" s="10">
        <v>73</v>
      </c>
      <c r="B95" s="10" t="s">
        <v>128</v>
      </c>
      <c r="C95" s="10" t="s">
        <v>4</v>
      </c>
      <c r="D95" s="10">
        <v>1.899</v>
      </c>
      <c r="E95" s="13">
        <f t="shared" si="20"/>
        <v>110900.10766208252</v>
      </c>
      <c r="F95" s="10" t="s">
        <v>47</v>
      </c>
      <c r="G95" s="10">
        <v>2</v>
      </c>
      <c r="H95" s="14">
        <f t="shared" si="16"/>
        <v>38000</v>
      </c>
      <c r="I95" s="10"/>
      <c r="J95" s="10"/>
      <c r="K95" s="10"/>
      <c r="L95" s="13">
        <f t="shared" si="17"/>
        <v>76000</v>
      </c>
      <c r="M95" s="13">
        <v>50000</v>
      </c>
      <c r="N95" s="13">
        <f t="shared" si="18"/>
        <v>236900.10766208253</v>
      </c>
      <c r="O95" s="13">
        <f t="shared" si="15"/>
        <v>281911.12811787822</v>
      </c>
      <c r="P95" s="10">
        <v>0</v>
      </c>
      <c r="Q95" s="13">
        <f t="shared" si="19"/>
        <v>281911.12811787822</v>
      </c>
      <c r="R95" s="15">
        <f t="shared" si="12"/>
        <v>70.477782029469552</v>
      </c>
    </row>
    <row r="96" spans="1:18" x14ac:dyDescent="0.35">
      <c r="A96" s="10">
        <v>74</v>
      </c>
      <c r="B96" s="10" t="s">
        <v>129</v>
      </c>
      <c r="C96" s="10" t="s">
        <v>4</v>
      </c>
      <c r="D96" s="10">
        <v>1.415</v>
      </c>
      <c r="E96" s="13">
        <f t="shared" si="20"/>
        <v>82634.888015717093</v>
      </c>
      <c r="F96" s="10" t="s">
        <v>60</v>
      </c>
      <c r="G96" s="10">
        <v>1</v>
      </c>
      <c r="H96" s="14">
        <f t="shared" si="16"/>
        <v>2500</v>
      </c>
      <c r="I96" s="10"/>
      <c r="J96" s="10"/>
      <c r="K96" s="10"/>
      <c r="L96" s="13">
        <f t="shared" si="17"/>
        <v>2500</v>
      </c>
      <c r="M96" s="13">
        <v>50000</v>
      </c>
      <c r="N96" s="13">
        <f t="shared" si="18"/>
        <v>135134.88801571709</v>
      </c>
      <c r="O96" s="13">
        <f t="shared" si="15"/>
        <v>160810.51673870333</v>
      </c>
      <c r="P96" s="10">
        <v>0</v>
      </c>
      <c r="Q96" s="13">
        <f t="shared" si="19"/>
        <v>160810.51673870333</v>
      </c>
      <c r="R96" s="15">
        <f t="shared" si="12"/>
        <v>40.202629184675835</v>
      </c>
    </row>
    <row r="97" spans="1:18" x14ac:dyDescent="0.35">
      <c r="A97" s="10">
        <v>75</v>
      </c>
      <c r="B97" s="10" t="s">
        <v>130</v>
      </c>
      <c r="C97" s="10" t="s">
        <v>4</v>
      </c>
      <c r="D97" s="10">
        <v>1.3720000000000001</v>
      </c>
      <c r="E97" s="13">
        <f t="shared" si="20"/>
        <v>80123.721807465627</v>
      </c>
      <c r="F97" s="10" t="s">
        <v>57</v>
      </c>
      <c r="G97" s="10">
        <v>1</v>
      </c>
      <c r="H97" s="14">
        <f t="shared" si="16"/>
        <v>35000</v>
      </c>
      <c r="I97" s="10"/>
      <c r="J97" s="10"/>
      <c r="K97" s="10"/>
      <c r="L97" s="13">
        <f t="shared" si="17"/>
        <v>35000</v>
      </c>
      <c r="M97" s="13">
        <v>50000</v>
      </c>
      <c r="N97" s="13">
        <f t="shared" si="18"/>
        <v>165123.72180746563</v>
      </c>
      <c r="O97" s="13">
        <f t="shared" si="15"/>
        <v>196497.22895088411</v>
      </c>
      <c r="P97" s="10">
        <v>0</v>
      </c>
      <c r="Q97" s="13">
        <f t="shared" si="19"/>
        <v>196497.22895088411</v>
      </c>
      <c r="R97" s="15">
        <f t="shared" si="12"/>
        <v>49.124307237721027</v>
      </c>
    </row>
    <row r="98" spans="1:18" x14ac:dyDescent="0.35">
      <c r="A98" s="10">
        <v>76</v>
      </c>
      <c r="B98" s="10" t="s">
        <v>131</v>
      </c>
      <c r="C98" s="10" t="s">
        <v>4</v>
      </c>
      <c r="D98" s="10">
        <v>1.4</v>
      </c>
      <c r="E98" s="13">
        <f t="shared" si="20"/>
        <v>81758.899803536347</v>
      </c>
      <c r="F98" s="10" t="s">
        <v>58</v>
      </c>
      <c r="G98" s="10">
        <v>1</v>
      </c>
      <c r="H98" s="14">
        <f t="shared" si="16"/>
        <v>2000</v>
      </c>
      <c r="I98" s="10"/>
      <c r="J98" s="10"/>
      <c r="K98" s="10"/>
      <c r="L98" s="13">
        <f t="shared" si="17"/>
        <v>2000</v>
      </c>
      <c r="M98" s="13">
        <v>50000</v>
      </c>
      <c r="N98" s="13">
        <f t="shared" si="18"/>
        <v>133758.89980353636</v>
      </c>
      <c r="O98" s="13">
        <f t="shared" si="15"/>
        <v>159173.09076620828</v>
      </c>
      <c r="P98" s="10">
        <v>0</v>
      </c>
      <c r="Q98" s="13">
        <f t="shared" si="19"/>
        <v>159173.09076620828</v>
      </c>
      <c r="R98" s="15">
        <f t="shared" si="12"/>
        <v>39.793272691552069</v>
      </c>
    </row>
    <row r="99" spans="1:18" x14ac:dyDescent="0.35">
      <c r="A99" s="10">
        <v>77</v>
      </c>
      <c r="B99" s="10" t="s">
        <v>132</v>
      </c>
      <c r="C99" s="10" t="s">
        <v>4</v>
      </c>
      <c r="D99" s="10">
        <v>1.845</v>
      </c>
      <c r="E99" s="13">
        <f t="shared" si="20"/>
        <v>107746.55009823183</v>
      </c>
      <c r="F99" s="10" t="s">
        <v>48</v>
      </c>
      <c r="G99" s="10">
        <v>2</v>
      </c>
      <c r="H99" s="14">
        <f t="shared" si="16"/>
        <v>50000</v>
      </c>
      <c r="I99" s="10"/>
      <c r="J99" s="10"/>
      <c r="K99" s="10"/>
      <c r="L99" s="13">
        <f t="shared" si="17"/>
        <v>100000</v>
      </c>
      <c r="M99" s="13">
        <v>50000</v>
      </c>
      <c r="N99" s="13">
        <f t="shared" si="18"/>
        <v>257746.55009823182</v>
      </c>
      <c r="O99" s="13">
        <f t="shared" si="15"/>
        <v>306718.39461689588</v>
      </c>
      <c r="P99" s="10">
        <v>0</v>
      </c>
      <c r="Q99" s="13">
        <f t="shared" si="19"/>
        <v>306718.39461689588</v>
      </c>
      <c r="R99" s="15">
        <f t="shared" si="12"/>
        <v>76.679598654223966</v>
      </c>
    </row>
    <row r="100" spans="1:18" x14ac:dyDescent="0.35">
      <c r="A100" s="10">
        <v>78</v>
      </c>
      <c r="B100" s="10" t="s">
        <v>133</v>
      </c>
      <c r="C100" s="10" t="s">
        <v>4</v>
      </c>
      <c r="D100" s="10">
        <v>1.494</v>
      </c>
      <c r="E100" s="13">
        <f t="shared" si="20"/>
        <v>87248.425933202365</v>
      </c>
      <c r="F100" s="10" t="s">
        <v>47</v>
      </c>
      <c r="G100" s="10">
        <v>1</v>
      </c>
      <c r="H100" s="14">
        <f t="shared" si="16"/>
        <v>38000</v>
      </c>
      <c r="I100" s="10"/>
      <c r="J100" s="10"/>
      <c r="K100" s="10"/>
      <c r="L100" s="13">
        <f t="shared" si="17"/>
        <v>38000</v>
      </c>
      <c r="M100" s="13">
        <v>50000</v>
      </c>
      <c r="N100" s="13">
        <f t="shared" si="18"/>
        <v>175248.42593320238</v>
      </c>
      <c r="O100" s="13">
        <f t="shared" si="15"/>
        <v>208545.62686051085</v>
      </c>
      <c r="P100" s="10">
        <v>0</v>
      </c>
      <c r="Q100" s="13">
        <f t="shared" si="19"/>
        <v>208545.62686051085</v>
      </c>
      <c r="R100" s="15">
        <f t="shared" si="12"/>
        <v>52.136406715127713</v>
      </c>
    </row>
    <row r="101" spans="1:18" x14ac:dyDescent="0.35">
      <c r="A101" s="10">
        <v>79</v>
      </c>
      <c r="B101" s="10" t="s">
        <v>134</v>
      </c>
      <c r="C101" s="10" t="s">
        <v>4</v>
      </c>
      <c r="D101" s="10">
        <v>6.4260000000000002</v>
      </c>
      <c r="E101" s="13">
        <f t="shared" si="20"/>
        <v>375273.35009823187</v>
      </c>
      <c r="F101" s="10" t="s">
        <v>58</v>
      </c>
      <c r="G101" s="10">
        <v>3</v>
      </c>
      <c r="H101" s="14">
        <f t="shared" si="16"/>
        <v>2000</v>
      </c>
      <c r="I101" s="10"/>
      <c r="J101" s="10"/>
      <c r="K101" s="10"/>
      <c r="L101" s="13">
        <f t="shared" si="17"/>
        <v>6000</v>
      </c>
      <c r="M101" s="13">
        <v>50000</v>
      </c>
      <c r="N101" s="13">
        <f t="shared" si="18"/>
        <v>431273.35009823187</v>
      </c>
      <c r="O101" s="13">
        <f t="shared" si="15"/>
        <v>513215.28661689593</v>
      </c>
      <c r="P101" s="10">
        <v>0</v>
      </c>
      <c r="Q101" s="13">
        <f t="shared" si="19"/>
        <v>513215.28661689593</v>
      </c>
      <c r="R101" s="15">
        <f t="shared" si="12"/>
        <v>128.30382165422398</v>
      </c>
    </row>
    <row r="102" spans="1:18" x14ac:dyDescent="0.35">
      <c r="A102" s="10">
        <v>80</v>
      </c>
      <c r="B102" s="10" t="s">
        <v>135</v>
      </c>
      <c r="C102" s="10" t="s">
        <v>4</v>
      </c>
      <c r="D102" s="10">
        <v>6.2519999999999998</v>
      </c>
      <c r="E102" s="13">
        <f t="shared" si="20"/>
        <v>365111.88683693518</v>
      </c>
      <c r="F102" s="10" t="s">
        <v>58</v>
      </c>
      <c r="G102" s="10">
        <v>3</v>
      </c>
      <c r="H102" s="14">
        <f t="shared" si="16"/>
        <v>2000</v>
      </c>
      <c r="I102" s="10"/>
      <c r="J102" s="10"/>
      <c r="K102" s="10"/>
      <c r="L102" s="13">
        <f t="shared" si="17"/>
        <v>6000</v>
      </c>
      <c r="M102" s="13">
        <v>50000</v>
      </c>
      <c r="N102" s="13">
        <f t="shared" si="18"/>
        <v>421111.88683693518</v>
      </c>
      <c r="O102" s="13">
        <f t="shared" si="15"/>
        <v>501123.14533595287</v>
      </c>
      <c r="P102" s="10">
        <v>0</v>
      </c>
      <c r="Q102" s="13">
        <f t="shared" si="19"/>
        <v>501123.14533595287</v>
      </c>
      <c r="R102" s="15">
        <f t="shared" si="12"/>
        <v>125.28078633398822</v>
      </c>
    </row>
    <row r="103" spans="1:18" x14ac:dyDescent="0.35">
      <c r="A103" s="10">
        <v>81</v>
      </c>
      <c r="B103" s="10" t="s">
        <v>136</v>
      </c>
      <c r="C103" s="10" t="s">
        <v>4</v>
      </c>
      <c r="D103" s="10">
        <v>6.4290000000000003</v>
      </c>
      <c r="E103" s="13">
        <f t="shared" si="20"/>
        <v>375448.547740668</v>
      </c>
      <c r="F103" s="10" t="s">
        <v>58</v>
      </c>
      <c r="G103" s="10">
        <v>3</v>
      </c>
      <c r="H103" s="14">
        <f t="shared" si="16"/>
        <v>2000</v>
      </c>
      <c r="I103" s="10"/>
      <c r="J103" s="10"/>
      <c r="K103" s="10"/>
      <c r="L103" s="13">
        <f t="shared" si="17"/>
        <v>6000</v>
      </c>
      <c r="M103" s="13">
        <v>50000</v>
      </c>
      <c r="N103" s="13">
        <f t="shared" si="18"/>
        <v>431448.547740668</v>
      </c>
      <c r="O103" s="13">
        <f t="shared" si="15"/>
        <v>513423.77181139495</v>
      </c>
      <c r="P103" s="10">
        <v>0</v>
      </c>
      <c r="Q103" s="13">
        <f t="shared" si="19"/>
        <v>513423.77181139495</v>
      </c>
      <c r="R103" s="15">
        <f t="shared" si="12"/>
        <v>128.35594295284875</v>
      </c>
    </row>
    <row r="104" spans="1:18" x14ac:dyDescent="0.35">
      <c r="A104" s="10">
        <v>82</v>
      </c>
      <c r="B104" s="10" t="s">
        <v>137</v>
      </c>
      <c r="C104" s="10" t="s">
        <v>4</v>
      </c>
      <c r="D104" s="10">
        <v>4.0860000000000003</v>
      </c>
      <c r="E104" s="13">
        <f t="shared" si="20"/>
        <v>238619.18899803539</v>
      </c>
      <c r="F104" s="10" t="s">
        <v>59</v>
      </c>
      <c r="G104" s="10">
        <v>9</v>
      </c>
      <c r="H104" s="14">
        <f t="shared" si="16"/>
        <v>300</v>
      </c>
      <c r="I104" s="10"/>
      <c r="J104" s="10"/>
      <c r="K104" s="10"/>
      <c r="L104" s="13">
        <f t="shared" si="17"/>
        <v>2700</v>
      </c>
      <c r="M104" s="13">
        <v>50000</v>
      </c>
      <c r="N104" s="13">
        <f t="shared" si="18"/>
        <v>291319.18899803539</v>
      </c>
      <c r="O104" s="13">
        <f t="shared" si="15"/>
        <v>346669.83490766212</v>
      </c>
      <c r="P104" s="10">
        <v>0</v>
      </c>
      <c r="Q104" s="13">
        <f t="shared" si="19"/>
        <v>346669.83490766212</v>
      </c>
      <c r="R104" s="15">
        <f t="shared" si="12"/>
        <v>86.667458726915527</v>
      </c>
    </row>
    <row r="105" spans="1:18" x14ac:dyDescent="0.35">
      <c r="A105" s="10">
        <v>83</v>
      </c>
      <c r="B105" s="10" t="s">
        <v>137</v>
      </c>
      <c r="C105" s="10" t="s">
        <v>4</v>
      </c>
      <c r="D105" s="10">
        <v>4.0410000000000004</v>
      </c>
      <c r="E105" s="13">
        <f t="shared" si="20"/>
        <v>235991.22436149316</v>
      </c>
      <c r="F105" s="10" t="s">
        <v>59</v>
      </c>
      <c r="G105" s="10">
        <v>9</v>
      </c>
      <c r="H105" s="14">
        <f t="shared" si="16"/>
        <v>300</v>
      </c>
      <c r="I105" s="10"/>
      <c r="J105" s="10"/>
      <c r="K105" s="10"/>
      <c r="L105" s="13">
        <f t="shared" si="17"/>
        <v>2700</v>
      </c>
      <c r="M105" s="13">
        <v>50000</v>
      </c>
      <c r="N105" s="13">
        <f t="shared" si="18"/>
        <v>288691.22436149314</v>
      </c>
      <c r="O105" s="13">
        <f t="shared" si="15"/>
        <v>343542.55699017685</v>
      </c>
      <c r="P105" s="10">
        <v>0</v>
      </c>
      <c r="Q105" s="13">
        <f t="shared" si="19"/>
        <v>343542.55699017685</v>
      </c>
      <c r="R105" s="15">
        <f t="shared" si="12"/>
        <v>85.885639247544205</v>
      </c>
    </row>
    <row r="106" spans="1:18" x14ac:dyDescent="0.35">
      <c r="A106" s="10">
        <v>84</v>
      </c>
      <c r="B106" s="10" t="s">
        <v>137</v>
      </c>
      <c r="C106" s="10" t="s">
        <v>4</v>
      </c>
      <c r="D106" s="10">
        <v>4.431</v>
      </c>
      <c r="E106" s="13">
        <f t="shared" si="20"/>
        <v>258766.91787819256</v>
      </c>
      <c r="F106" s="10" t="s">
        <v>59</v>
      </c>
      <c r="G106" s="10">
        <v>9</v>
      </c>
      <c r="H106" s="14">
        <f t="shared" si="16"/>
        <v>300</v>
      </c>
      <c r="I106" s="10"/>
      <c r="J106" s="10"/>
      <c r="K106" s="10"/>
      <c r="L106" s="13">
        <f t="shared" si="17"/>
        <v>2700</v>
      </c>
      <c r="M106" s="13">
        <v>50000</v>
      </c>
      <c r="N106" s="13">
        <f t="shared" si="18"/>
        <v>311466.91787819256</v>
      </c>
      <c r="O106" s="13">
        <f t="shared" si="15"/>
        <v>370645.63227504917</v>
      </c>
      <c r="P106" s="10">
        <v>0</v>
      </c>
      <c r="Q106" s="13">
        <f t="shared" ref="Q106:Q115" si="21">O106+P106</f>
        <v>370645.63227504917</v>
      </c>
      <c r="R106" s="15">
        <f t="shared" si="12"/>
        <v>92.661408068762299</v>
      </c>
    </row>
    <row r="107" spans="1:18" x14ac:dyDescent="0.35">
      <c r="A107" s="10">
        <v>85</v>
      </c>
      <c r="B107" s="10" t="s">
        <v>137</v>
      </c>
      <c r="C107" s="10" t="s">
        <v>4</v>
      </c>
      <c r="D107" s="10">
        <v>4.2140000000000004</v>
      </c>
      <c r="E107" s="13">
        <f t="shared" si="20"/>
        <v>246094.28840864444</v>
      </c>
      <c r="F107" s="10" t="s">
        <v>59</v>
      </c>
      <c r="G107" s="10">
        <v>9</v>
      </c>
      <c r="H107" s="14">
        <f t="shared" si="16"/>
        <v>300</v>
      </c>
      <c r="I107" s="10"/>
      <c r="J107" s="10"/>
      <c r="K107" s="10"/>
      <c r="L107" s="13">
        <f t="shared" si="17"/>
        <v>2700</v>
      </c>
      <c r="M107" s="13">
        <v>50000</v>
      </c>
      <c r="N107" s="13">
        <f t="shared" si="18"/>
        <v>298794.28840864444</v>
      </c>
      <c r="O107" s="13">
        <f t="shared" si="15"/>
        <v>355565.20320628688</v>
      </c>
      <c r="P107" s="10">
        <v>0</v>
      </c>
      <c r="Q107" s="13">
        <f t="shared" si="21"/>
        <v>355565.20320628688</v>
      </c>
      <c r="R107" s="15">
        <f t="shared" si="12"/>
        <v>88.891300801571717</v>
      </c>
    </row>
    <row r="108" spans="1:18" x14ac:dyDescent="0.35">
      <c r="A108" s="10">
        <v>86</v>
      </c>
      <c r="B108" s="10" t="s">
        <v>137</v>
      </c>
      <c r="C108" s="10" t="s">
        <v>4</v>
      </c>
      <c r="D108" s="10">
        <v>4.0990000000000002</v>
      </c>
      <c r="E108" s="13">
        <f t="shared" si="20"/>
        <v>239378.37878192536</v>
      </c>
      <c r="F108" s="10" t="s">
        <v>59</v>
      </c>
      <c r="G108" s="10">
        <v>9</v>
      </c>
      <c r="H108" s="14">
        <f t="shared" si="16"/>
        <v>300</v>
      </c>
      <c r="I108" s="10"/>
      <c r="J108" s="10"/>
      <c r="K108" s="10"/>
      <c r="L108" s="13">
        <f t="shared" si="17"/>
        <v>2700</v>
      </c>
      <c r="M108" s="13">
        <v>50000</v>
      </c>
      <c r="N108" s="13">
        <f t="shared" si="18"/>
        <v>292078.37878192536</v>
      </c>
      <c r="O108" s="13">
        <f t="shared" si="15"/>
        <v>347573.27075049118</v>
      </c>
      <c r="P108" s="10">
        <v>0</v>
      </c>
      <c r="Q108" s="13">
        <f t="shared" si="21"/>
        <v>347573.27075049118</v>
      </c>
      <c r="R108" s="15">
        <f t="shared" si="12"/>
        <v>86.893317687622798</v>
      </c>
    </row>
    <row r="109" spans="1:18" x14ac:dyDescent="0.35">
      <c r="A109" s="10">
        <v>87</v>
      </c>
      <c r="B109" s="10" t="s">
        <v>138</v>
      </c>
      <c r="C109" s="10" t="s">
        <v>4</v>
      </c>
      <c r="D109" s="10">
        <v>3.8159999999999998</v>
      </c>
      <c r="E109" s="13">
        <f t="shared" si="20"/>
        <v>222851.40117878193</v>
      </c>
      <c r="F109" s="10" t="s">
        <v>58</v>
      </c>
      <c r="G109" s="10">
        <v>9</v>
      </c>
      <c r="H109" s="14">
        <f t="shared" si="16"/>
        <v>2000</v>
      </c>
      <c r="I109" s="10"/>
      <c r="J109" s="10"/>
      <c r="K109" s="10"/>
      <c r="L109" s="13">
        <f t="shared" si="17"/>
        <v>18000</v>
      </c>
      <c r="M109" s="13">
        <v>50000</v>
      </c>
      <c r="N109" s="13">
        <f t="shared" si="18"/>
        <v>290851.40117878193</v>
      </c>
      <c r="O109" s="13">
        <f t="shared" si="15"/>
        <v>346113.16740275052</v>
      </c>
      <c r="P109" s="10">
        <v>0</v>
      </c>
      <c r="Q109" s="13">
        <f t="shared" si="21"/>
        <v>346113.16740275052</v>
      </c>
      <c r="R109" s="15">
        <f t="shared" si="12"/>
        <v>86.528291850687637</v>
      </c>
    </row>
    <row r="110" spans="1:18" x14ac:dyDescent="0.35">
      <c r="A110" s="10">
        <v>88</v>
      </c>
      <c r="B110" s="10" t="s">
        <v>139</v>
      </c>
      <c r="C110" s="10" t="s">
        <v>4</v>
      </c>
      <c r="D110" s="10">
        <v>5.2409999999999997</v>
      </c>
      <c r="E110" s="13">
        <f t="shared" si="20"/>
        <v>306070.28133595287</v>
      </c>
      <c r="F110" s="10" t="s">
        <v>47</v>
      </c>
      <c r="G110" s="10">
        <v>2</v>
      </c>
      <c r="H110" s="14">
        <f t="shared" si="16"/>
        <v>38000</v>
      </c>
      <c r="I110" s="10"/>
      <c r="J110" s="10"/>
      <c r="K110" s="10"/>
      <c r="L110" s="13">
        <f t="shared" si="17"/>
        <v>76000</v>
      </c>
      <c r="M110" s="13">
        <v>50000</v>
      </c>
      <c r="N110" s="13">
        <f t="shared" si="18"/>
        <v>432070.28133595287</v>
      </c>
      <c r="O110" s="13">
        <f t="shared" si="15"/>
        <v>514163.63478978392</v>
      </c>
      <c r="P110" s="10">
        <v>0</v>
      </c>
      <c r="Q110" s="13">
        <f t="shared" si="21"/>
        <v>514163.63478978392</v>
      </c>
      <c r="R110" s="15">
        <f t="shared" si="12"/>
        <v>128.54090869744599</v>
      </c>
    </row>
    <row r="111" spans="1:18" x14ac:dyDescent="0.35">
      <c r="A111" s="10">
        <v>89</v>
      </c>
      <c r="B111" s="10" t="s">
        <v>140</v>
      </c>
      <c r="C111" s="10" t="s">
        <v>4</v>
      </c>
      <c r="D111" s="10"/>
      <c r="E111" s="13">
        <f t="shared" si="20"/>
        <v>0</v>
      </c>
      <c r="F111" s="10"/>
      <c r="G111" s="10"/>
      <c r="H111" s="14"/>
      <c r="I111" s="10"/>
      <c r="J111" s="10"/>
      <c r="K111" s="10"/>
      <c r="L111" s="13">
        <f t="shared" si="17"/>
        <v>0</v>
      </c>
      <c r="M111" s="13">
        <v>0</v>
      </c>
      <c r="N111" s="13">
        <f t="shared" si="18"/>
        <v>0</v>
      </c>
      <c r="O111" s="13">
        <f t="shared" si="15"/>
        <v>0</v>
      </c>
      <c r="P111" s="10">
        <v>45000</v>
      </c>
      <c r="Q111" s="13">
        <f t="shared" si="21"/>
        <v>45000</v>
      </c>
      <c r="R111" s="15">
        <f t="shared" si="12"/>
        <v>11.25</v>
      </c>
    </row>
    <row r="112" spans="1:18" x14ac:dyDescent="0.35">
      <c r="A112" s="10">
        <v>90</v>
      </c>
      <c r="B112" s="10" t="s">
        <v>140</v>
      </c>
      <c r="C112" s="10" t="s">
        <v>4</v>
      </c>
      <c r="D112" s="10"/>
      <c r="E112" s="13">
        <f t="shared" si="20"/>
        <v>0</v>
      </c>
      <c r="F112" s="10"/>
      <c r="G112" s="10"/>
      <c r="H112" s="14"/>
      <c r="I112" s="10"/>
      <c r="J112" s="10"/>
      <c r="K112" s="10"/>
      <c r="L112" s="13">
        <f t="shared" si="17"/>
        <v>0</v>
      </c>
      <c r="M112" s="13">
        <v>0</v>
      </c>
      <c r="N112" s="13">
        <f t="shared" si="18"/>
        <v>0</v>
      </c>
      <c r="O112" s="13">
        <f t="shared" si="15"/>
        <v>0</v>
      </c>
      <c r="P112" s="10">
        <v>45000</v>
      </c>
      <c r="Q112" s="13">
        <f t="shared" si="21"/>
        <v>45000</v>
      </c>
      <c r="R112" s="15">
        <f t="shared" si="12"/>
        <v>11.25</v>
      </c>
    </row>
    <row r="113" spans="1:18" x14ac:dyDescent="0.35">
      <c r="A113" s="10">
        <v>91</v>
      </c>
      <c r="B113" s="10" t="s">
        <v>140</v>
      </c>
      <c r="C113" s="10" t="s">
        <v>4</v>
      </c>
      <c r="D113" s="10"/>
      <c r="E113" s="13">
        <f t="shared" si="20"/>
        <v>0</v>
      </c>
      <c r="F113" s="10"/>
      <c r="G113" s="10"/>
      <c r="H113" s="14"/>
      <c r="I113" s="10"/>
      <c r="J113" s="10"/>
      <c r="K113" s="10"/>
      <c r="L113" s="13">
        <f t="shared" si="17"/>
        <v>0</v>
      </c>
      <c r="M113" s="13">
        <v>0</v>
      </c>
      <c r="N113" s="13">
        <f t="shared" si="18"/>
        <v>0</v>
      </c>
      <c r="O113" s="13">
        <f t="shared" si="15"/>
        <v>0</v>
      </c>
      <c r="P113" s="10">
        <v>45000</v>
      </c>
      <c r="Q113" s="13">
        <f t="shared" si="21"/>
        <v>45000</v>
      </c>
      <c r="R113" s="15">
        <f t="shared" si="12"/>
        <v>11.25</v>
      </c>
    </row>
    <row r="114" spans="1:18" x14ac:dyDescent="0.35">
      <c r="A114" s="10">
        <v>92</v>
      </c>
      <c r="B114" s="10" t="s">
        <v>140</v>
      </c>
      <c r="C114" s="10" t="s">
        <v>4</v>
      </c>
      <c r="D114" s="10"/>
      <c r="E114" s="13">
        <f t="shared" si="20"/>
        <v>0</v>
      </c>
      <c r="F114" s="10"/>
      <c r="G114" s="10"/>
      <c r="H114" s="14"/>
      <c r="I114" s="10"/>
      <c r="J114" s="10"/>
      <c r="K114" s="10"/>
      <c r="L114" s="13">
        <f t="shared" si="17"/>
        <v>0</v>
      </c>
      <c r="M114" s="13">
        <v>0</v>
      </c>
      <c r="N114" s="13">
        <f t="shared" si="18"/>
        <v>0</v>
      </c>
      <c r="O114" s="13">
        <f t="shared" si="15"/>
        <v>0</v>
      </c>
      <c r="P114" s="10">
        <v>45000</v>
      </c>
      <c r="Q114" s="13">
        <f t="shared" si="21"/>
        <v>45000</v>
      </c>
      <c r="R114" s="15">
        <f t="shared" si="12"/>
        <v>11.25</v>
      </c>
    </row>
    <row r="115" spans="1:18" x14ac:dyDescent="0.35">
      <c r="A115" s="10">
        <v>93</v>
      </c>
      <c r="B115" s="10" t="s">
        <v>141</v>
      </c>
      <c r="C115" s="10" t="s">
        <v>4</v>
      </c>
      <c r="D115" s="10">
        <v>2.2810000000000001</v>
      </c>
      <c r="E115" s="13">
        <f t="shared" si="20"/>
        <v>133208.60746561887</v>
      </c>
      <c r="F115" s="10" t="s">
        <v>65</v>
      </c>
      <c r="G115" s="10"/>
      <c r="H115" s="14"/>
      <c r="I115" s="10"/>
      <c r="J115" s="10"/>
      <c r="K115" s="10"/>
      <c r="L115" s="13">
        <f t="shared" si="17"/>
        <v>0</v>
      </c>
      <c r="M115" s="13">
        <v>0</v>
      </c>
      <c r="N115" s="13">
        <f t="shared" si="18"/>
        <v>133208.60746561887</v>
      </c>
      <c r="O115" s="13">
        <f t="shared" si="15"/>
        <v>158518.24288408644</v>
      </c>
      <c r="P115" s="10">
        <v>0</v>
      </c>
      <c r="Q115" s="13">
        <f t="shared" si="21"/>
        <v>158518.24288408644</v>
      </c>
      <c r="R115" s="15">
        <f t="shared" si="12"/>
        <v>39.629560721021612</v>
      </c>
    </row>
    <row r="116" spans="1:18" x14ac:dyDescent="0.35">
      <c r="R116" s="9"/>
    </row>
  </sheetData>
  <mergeCells count="2">
    <mergeCell ref="F3:H3"/>
    <mergeCell ref="I3:K3"/>
  </mergeCells>
  <pageMargins left="0.25" right="0.25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3529-968C-4089-9AAE-C65D80B94320}">
  <dimension ref="A1:D4"/>
  <sheetViews>
    <sheetView workbookViewId="0">
      <selection activeCell="C3" sqref="C3"/>
    </sheetView>
  </sheetViews>
  <sheetFormatPr defaultRowHeight="14.5" x14ac:dyDescent="0.35"/>
  <cols>
    <col min="1" max="1" width="11.90625" bestFit="1" customWidth="1"/>
    <col min="2" max="2" width="22.08984375" bestFit="1" customWidth="1"/>
    <col min="3" max="3" width="11.08984375" bestFit="1" customWidth="1"/>
    <col min="4" max="4" width="10.54296875" bestFit="1" customWidth="1"/>
  </cols>
  <sheetData>
    <row r="1" spans="1:4" x14ac:dyDescent="0.35">
      <c r="A1" s="1" t="s">
        <v>7</v>
      </c>
      <c r="B1" s="1" t="s">
        <v>0</v>
      </c>
      <c r="C1" s="1" t="s">
        <v>23</v>
      </c>
      <c r="D1" s="1" t="s">
        <v>19</v>
      </c>
    </row>
    <row r="2" spans="1:4" x14ac:dyDescent="0.35">
      <c r="B2" t="s">
        <v>20</v>
      </c>
    </row>
    <row r="3" spans="1:4" x14ac:dyDescent="0.35">
      <c r="B3" t="s">
        <v>21</v>
      </c>
    </row>
    <row r="4" spans="1:4" x14ac:dyDescent="0.35">
      <c r="B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774D-5A1C-41C5-A201-52A19CE0E6D6}">
  <dimension ref="B2:D3"/>
  <sheetViews>
    <sheetView workbookViewId="0">
      <selection activeCell="B4" sqref="B4"/>
    </sheetView>
  </sheetViews>
  <sheetFormatPr defaultRowHeight="14.5" x14ac:dyDescent="0.35"/>
  <cols>
    <col min="2" max="2" width="26.54296875" bestFit="1" customWidth="1"/>
    <col min="3" max="3" width="13.90625" bestFit="1" customWidth="1"/>
    <col min="4" max="4" width="12.36328125" bestFit="1" customWidth="1"/>
  </cols>
  <sheetData>
    <row r="2" spans="2:4" x14ac:dyDescent="0.35">
      <c r="C2" t="s">
        <v>30</v>
      </c>
      <c r="D2" t="s">
        <v>31</v>
      </c>
    </row>
    <row r="3" spans="2:4" x14ac:dyDescent="0.35">
      <c r="B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Costos Indirectos y Fijos</vt:lpstr>
      <vt:lpstr>Costo Directos</vt:lpstr>
      <vt:lpstr>Costos Total</vt:lpstr>
      <vt:lpstr>Sheet4</vt:lpstr>
      <vt:lpstr>'Costo Directos'!Print_Area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Candia Torres</dc:creator>
  <cp:lastModifiedBy>Olga Lebedeva</cp:lastModifiedBy>
  <cp:lastPrinted>2024-08-27T07:01:37Z</cp:lastPrinted>
  <dcterms:created xsi:type="dcterms:W3CDTF">2024-08-27T03:03:57Z</dcterms:created>
  <dcterms:modified xsi:type="dcterms:W3CDTF">2025-10-07T17:42:22Z</dcterms:modified>
</cp:coreProperties>
</file>